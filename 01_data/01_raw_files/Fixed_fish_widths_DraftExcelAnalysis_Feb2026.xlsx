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IZZUTOM\Desktop\GitHub Projects\2026_Reddick_fish_morphology\01_data\01_raw_files\"/>
    </mc:Choice>
  </mc:AlternateContent>
  <xr:revisionPtr revIDLastSave="0" documentId="13_ncr:1_{FBEF36A5-4060-4AA4-AC2E-6DDF68B910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Sheet1!$A$1:$I$377</definedName>
  </definedNames>
  <calcPr calcId="191028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21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3" i="2"/>
  <c r="B124" i="2"/>
  <c r="B126" i="2"/>
  <c r="B127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2" i="2"/>
  <c r="B323" i="2"/>
  <c r="B324" i="2"/>
  <c r="B325" i="2"/>
  <c r="B326" i="2"/>
  <c r="B327" i="2"/>
  <c r="C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2" i="2"/>
  <c r="B383" i="2"/>
  <c r="B384" i="2"/>
  <c r="B385" i="2"/>
  <c r="B386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1" i="2"/>
</calcChain>
</file>

<file path=xl/sharedStrings.xml><?xml version="1.0" encoding="utf-8"?>
<sst xmlns="http://schemas.openxmlformats.org/spreadsheetml/2006/main" count="2392" uniqueCount="131">
  <si>
    <t>Location</t>
  </si>
  <si>
    <t>Transect</t>
  </si>
  <si>
    <t>Date</t>
  </si>
  <si>
    <t xml:space="preserve">Species </t>
  </si>
  <si>
    <t>JH</t>
  </si>
  <si>
    <t>JH_5</t>
  </si>
  <si>
    <t>26/05/2025</t>
  </si>
  <si>
    <t>BB</t>
  </si>
  <si>
    <t>Row Labels</t>
  </si>
  <si>
    <t>JH_6</t>
  </si>
  <si>
    <t>BF</t>
  </si>
  <si>
    <t>HH</t>
  </si>
  <si>
    <t>HH36</t>
  </si>
  <si>
    <t>BW</t>
  </si>
  <si>
    <t>HH14</t>
  </si>
  <si>
    <t>15/05/2025</t>
  </si>
  <si>
    <t>Ccat</t>
  </si>
  <si>
    <t>JH_8</t>
  </si>
  <si>
    <t>FWD</t>
  </si>
  <si>
    <t>GF</t>
  </si>
  <si>
    <t>GZ</t>
  </si>
  <si>
    <t>LMB</t>
  </si>
  <si>
    <t>JH_9</t>
  </si>
  <si>
    <t>NP</t>
  </si>
  <si>
    <t>RD</t>
  </si>
  <si>
    <t>JH_7</t>
  </si>
  <si>
    <t>RT</t>
  </si>
  <si>
    <t>WE</t>
  </si>
  <si>
    <t>WS</t>
  </si>
  <si>
    <t>YP</t>
  </si>
  <si>
    <t>Grand Total</t>
  </si>
  <si>
    <t>JH_1</t>
  </si>
  <si>
    <t>JH_4</t>
  </si>
  <si>
    <t>Species</t>
  </si>
  <si>
    <t>Count</t>
  </si>
  <si>
    <t>Min Length</t>
  </si>
  <si>
    <t>Max Length</t>
  </si>
  <si>
    <t>Notes</t>
  </si>
  <si>
    <t>Brown Bullhead</t>
  </si>
  <si>
    <t>&lt;125 or &gt;400</t>
  </si>
  <si>
    <t>Bowfin</t>
  </si>
  <si>
    <t>All</t>
  </si>
  <si>
    <t>Channel Catfish</t>
  </si>
  <si>
    <t>RECAP: 160701</t>
  </si>
  <si>
    <t>Freshater Drum</t>
  </si>
  <si>
    <t>HH44</t>
  </si>
  <si>
    <t>22/05/2025</t>
  </si>
  <si>
    <t>Goldfish</t>
  </si>
  <si>
    <t>&lt;210 or &gt;290</t>
  </si>
  <si>
    <t xml:space="preserve">I think this was done in inches so I corrected  </t>
  </si>
  <si>
    <t>Gizzard Shad</t>
  </si>
  <si>
    <t>HH39</t>
  </si>
  <si>
    <t>14/05/25</t>
  </si>
  <si>
    <t>Largemouth Bass</t>
  </si>
  <si>
    <t>&lt;375 or &gt;475</t>
  </si>
  <si>
    <t>HH42B</t>
  </si>
  <si>
    <t>14/05/2025</t>
  </si>
  <si>
    <t>Northern Pike</t>
  </si>
  <si>
    <t>HH30</t>
  </si>
  <si>
    <t>Rudd</t>
  </si>
  <si>
    <t>&lt;150 or &gt;350</t>
  </si>
  <si>
    <t>HH26</t>
  </si>
  <si>
    <t>Rainbow Trout</t>
  </si>
  <si>
    <t>Walleye</t>
  </si>
  <si>
    <t>JH_2</t>
  </si>
  <si>
    <t>RECAP: 160388</t>
  </si>
  <si>
    <t>White Sucker</t>
  </si>
  <si>
    <t>RECAP: 362931</t>
  </si>
  <si>
    <t>Yellow Perch</t>
  </si>
  <si>
    <t>&lt;75 or &gt;175</t>
  </si>
  <si>
    <t>RECAP:160501</t>
  </si>
  <si>
    <t>21/07/2025</t>
  </si>
  <si>
    <t>HH32</t>
  </si>
  <si>
    <t>HH41B</t>
  </si>
  <si>
    <t>says 700 I think means 70</t>
  </si>
  <si>
    <t>HH43B</t>
  </si>
  <si>
    <t>22/05/25</t>
  </si>
  <si>
    <t>HH42A</t>
  </si>
  <si>
    <t>elec fish fix</t>
  </si>
  <si>
    <t>HH37</t>
  </si>
  <si>
    <t>JDM - Change width from 150 to 15</t>
  </si>
  <si>
    <t>HH45</t>
  </si>
  <si>
    <t>HH38</t>
  </si>
  <si>
    <t>HH34</t>
  </si>
  <si>
    <t>HH16</t>
  </si>
  <si>
    <t>HH43</t>
  </si>
  <si>
    <t>HH9</t>
  </si>
  <si>
    <t>JH_3</t>
  </si>
  <si>
    <t>Plastic</t>
  </si>
  <si>
    <t>15-10-2025</t>
  </si>
  <si>
    <t>WP</t>
  </si>
  <si>
    <t>RB</t>
  </si>
  <si>
    <t>HH17</t>
  </si>
  <si>
    <t>HH19</t>
  </si>
  <si>
    <t>HH28</t>
  </si>
  <si>
    <t>CC</t>
  </si>
  <si>
    <t>14-10-2025</t>
  </si>
  <si>
    <t>RG</t>
  </si>
  <si>
    <t>PS</t>
  </si>
  <si>
    <t>HH18</t>
  </si>
  <si>
    <t>HH24</t>
  </si>
  <si>
    <t>HH22</t>
  </si>
  <si>
    <t>HH6</t>
  </si>
  <si>
    <t>16-10-2025</t>
  </si>
  <si>
    <t>HH46</t>
  </si>
  <si>
    <t>HH47</t>
  </si>
  <si>
    <t>LP</t>
  </si>
  <si>
    <t>HH48</t>
  </si>
  <si>
    <t>HH10</t>
  </si>
  <si>
    <t>HH11</t>
  </si>
  <si>
    <t>HH42</t>
  </si>
  <si>
    <t>HH09</t>
  </si>
  <si>
    <t>28-10-2025</t>
  </si>
  <si>
    <t>Metal</t>
  </si>
  <si>
    <t>HH06</t>
  </si>
  <si>
    <t>HH02</t>
  </si>
  <si>
    <t>HH04</t>
  </si>
  <si>
    <t>28-10-2026</t>
  </si>
  <si>
    <t>28-10-2027</t>
  </si>
  <si>
    <t>28-10-2028</t>
  </si>
  <si>
    <t>21-10-2025</t>
  </si>
  <si>
    <t>CHS</t>
  </si>
  <si>
    <t>DOES NOT INCLUDE FALL DATA</t>
  </si>
  <si>
    <t>Measuring Device</t>
  </si>
  <si>
    <t>Gear</t>
  </si>
  <si>
    <t>Efishing</t>
  </si>
  <si>
    <t>ForkLength_mm</t>
  </si>
  <si>
    <t>Width_mm</t>
  </si>
  <si>
    <t>Mass_g</t>
  </si>
  <si>
    <t>Trap Net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</si>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</sst>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3" borderId="0" xfId="0" applyFill="1"/>
    <xf numFmtId="0" fontId="0" fillId="0" borderId="0" xfId="0" applyNumberFormat="1"/>
    <xf numFmtId="0" fontId="0" fillId="0" borderId="0" xfId="0" applyAlignment="1"/>
    <xf numFmtId="14" fontId="0" fillId="0" borderId="0" xfId="0" applyNumberFormat="1" applyAlignment="1"/>
    <xf numFmtId="14" fontId="0" fillId="3" borderId="0" xfId="0" applyNumberFormat="1" applyFill="1"/>
    <xf numFmtId="14" fontId="0" fillId="2" borderId="0" xfId="0" applyNumberFormat="1" applyFill="1"/>
    <xf numFmtId="15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4" borderId="0" xfId="0" applyFill="1"/>
    <xf numFmtId="14" fontId="0" fillId="4" borderId="0" xfId="0" applyNumberFormat="1" applyFill="1"/>
  </cellXfs>
  <cellStyles count="1">
    <cellStyle name="Normal" xfId="0" builtinId="0"/>
  </cellStyles>
  <dxfs count="6"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WP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Sheet1!$F$2:$F$63</c:f>
              <c:numCache>
                <c:formatCode>General</c:formatCode>
                <c:ptCount val="62"/>
                <c:pt idx="0">
                  <c:v>131</c:v>
                </c:pt>
                <c:pt idx="1">
                  <c:v>750</c:v>
                </c:pt>
                <c:pt idx="2">
                  <c:v>192</c:v>
                </c:pt>
                <c:pt idx="3">
                  <c:v>220</c:v>
                </c:pt>
                <c:pt idx="4">
                  <c:v>120</c:v>
                </c:pt>
                <c:pt idx="5">
                  <c:v>126</c:v>
                </c:pt>
                <c:pt idx="6">
                  <c:v>124</c:v>
                </c:pt>
                <c:pt idx="7">
                  <c:v>182</c:v>
                </c:pt>
                <c:pt idx="8">
                  <c:v>92</c:v>
                </c:pt>
                <c:pt idx="9">
                  <c:v>186</c:v>
                </c:pt>
                <c:pt idx="10">
                  <c:v>164</c:v>
                </c:pt>
                <c:pt idx="11">
                  <c:v>143</c:v>
                </c:pt>
                <c:pt idx="12">
                  <c:v>121</c:v>
                </c:pt>
                <c:pt idx="13">
                  <c:v>121</c:v>
                </c:pt>
                <c:pt idx="14">
                  <c:v>115</c:v>
                </c:pt>
                <c:pt idx="15">
                  <c:v>241</c:v>
                </c:pt>
                <c:pt idx="16">
                  <c:v>183</c:v>
                </c:pt>
                <c:pt idx="17">
                  <c:v>180</c:v>
                </c:pt>
                <c:pt idx="18">
                  <c:v>400</c:v>
                </c:pt>
                <c:pt idx="19">
                  <c:v>395</c:v>
                </c:pt>
                <c:pt idx="20">
                  <c:v>115</c:v>
                </c:pt>
                <c:pt idx="21">
                  <c:v>200</c:v>
                </c:pt>
                <c:pt idx="22">
                  <c:v>200</c:v>
                </c:pt>
                <c:pt idx="23">
                  <c:v>192</c:v>
                </c:pt>
                <c:pt idx="24">
                  <c:v>180</c:v>
                </c:pt>
                <c:pt idx="25">
                  <c:v>260</c:v>
                </c:pt>
                <c:pt idx="26">
                  <c:v>230</c:v>
                </c:pt>
                <c:pt idx="27">
                  <c:v>182</c:v>
                </c:pt>
                <c:pt idx="28">
                  <c:v>120</c:v>
                </c:pt>
                <c:pt idx="29">
                  <c:v>119</c:v>
                </c:pt>
                <c:pt idx="30">
                  <c:v>95</c:v>
                </c:pt>
                <c:pt idx="31">
                  <c:v>210</c:v>
                </c:pt>
                <c:pt idx="32">
                  <c:v>683</c:v>
                </c:pt>
                <c:pt idx="33">
                  <c:v>140</c:v>
                </c:pt>
                <c:pt idx="34">
                  <c:v>130</c:v>
                </c:pt>
                <c:pt idx="35">
                  <c:v>226</c:v>
                </c:pt>
                <c:pt idx="36">
                  <c:v>204</c:v>
                </c:pt>
                <c:pt idx="37">
                  <c:v>185</c:v>
                </c:pt>
                <c:pt idx="38">
                  <c:v>162</c:v>
                </c:pt>
                <c:pt idx="39">
                  <c:v>119</c:v>
                </c:pt>
                <c:pt idx="40">
                  <c:v>596</c:v>
                </c:pt>
                <c:pt idx="41">
                  <c:v>155</c:v>
                </c:pt>
                <c:pt idx="42">
                  <c:v>150</c:v>
                </c:pt>
                <c:pt idx="43">
                  <c:v>132</c:v>
                </c:pt>
                <c:pt idx="44">
                  <c:v>193</c:v>
                </c:pt>
                <c:pt idx="45">
                  <c:v>104</c:v>
                </c:pt>
                <c:pt idx="46">
                  <c:v>92</c:v>
                </c:pt>
                <c:pt idx="47">
                  <c:v>90</c:v>
                </c:pt>
                <c:pt idx="48">
                  <c:v>90</c:v>
                </c:pt>
                <c:pt idx="49">
                  <c:v>87</c:v>
                </c:pt>
                <c:pt idx="50">
                  <c:v>119</c:v>
                </c:pt>
                <c:pt idx="51">
                  <c:v>156</c:v>
                </c:pt>
                <c:pt idx="52">
                  <c:v>149</c:v>
                </c:pt>
                <c:pt idx="53">
                  <c:v>148</c:v>
                </c:pt>
                <c:pt idx="54">
                  <c:v>100</c:v>
                </c:pt>
                <c:pt idx="55">
                  <c:v>51</c:v>
                </c:pt>
                <c:pt idx="56">
                  <c:v>106</c:v>
                </c:pt>
                <c:pt idx="57">
                  <c:v>92</c:v>
                </c:pt>
                <c:pt idx="58">
                  <c:v>83</c:v>
                </c:pt>
                <c:pt idx="59">
                  <c:v>78</c:v>
                </c:pt>
                <c:pt idx="60">
                  <c:v>185</c:v>
                </c:pt>
                <c:pt idx="61">
                  <c:v>183</c:v>
                </c:pt>
              </c:numCache>
            </c:numRef>
          </c:xVal>
          <c:yVal>
            <c:numRef>
              <c:f>Sheet1!$G$2:$G$63</c:f>
              <c:numCache>
                <c:formatCode>General</c:formatCode>
                <c:ptCount val="62"/>
                <c:pt idx="0">
                  <c:v>15</c:v>
                </c:pt>
                <c:pt idx="1">
                  <c:v>40</c:v>
                </c:pt>
                <c:pt idx="2">
                  <c:v>15</c:v>
                </c:pt>
                <c:pt idx="3">
                  <c:v>35</c:v>
                </c:pt>
                <c:pt idx="4">
                  <c:v>34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  <c:pt idx="8">
                  <c:v>8</c:v>
                </c:pt>
                <c:pt idx="9">
                  <c:v>26</c:v>
                </c:pt>
                <c:pt idx="10">
                  <c:v>20</c:v>
                </c:pt>
                <c:pt idx="11">
                  <c:v>19</c:v>
                </c:pt>
                <c:pt idx="12">
                  <c:v>10</c:v>
                </c:pt>
                <c:pt idx="13">
                  <c:v>10</c:v>
                </c:pt>
                <c:pt idx="14">
                  <c:v>15</c:v>
                </c:pt>
                <c:pt idx="15">
                  <c:v>30</c:v>
                </c:pt>
                <c:pt idx="16">
                  <c:v>27</c:v>
                </c:pt>
                <c:pt idx="17">
                  <c:v>26</c:v>
                </c:pt>
                <c:pt idx="18">
                  <c:v>55</c:v>
                </c:pt>
                <c:pt idx="19">
                  <c:v>63</c:v>
                </c:pt>
                <c:pt idx="20">
                  <c:v>19</c:v>
                </c:pt>
                <c:pt idx="21">
                  <c:v>32</c:v>
                </c:pt>
                <c:pt idx="22">
                  <c:v>25</c:v>
                </c:pt>
                <c:pt idx="23">
                  <c:v>21</c:v>
                </c:pt>
                <c:pt idx="24">
                  <c:v>21</c:v>
                </c:pt>
                <c:pt idx="25">
                  <c:v>30</c:v>
                </c:pt>
                <c:pt idx="26">
                  <c:v>30</c:v>
                </c:pt>
                <c:pt idx="27">
                  <c:v>20</c:v>
                </c:pt>
                <c:pt idx="28">
                  <c:v>10</c:v>
                </c:pt>
                <c:pt idx="29">
                  <c:v>22</c:v>
                </c:pt>
                <c:pt idx="30">
                  <c:v>10</c:v>
                </c:pt>
                <c:pt idx="31">
                  <c:v>40</c:v>
                </c:pt>
                <c:pt idx="32">
                  <c:v>85</c:v>
                </c:pt>
                <c:pt idx="33">
                  <c:v>15</c:v>
                </c:pt>
                <c:pt idx="34">
                  <c:v>15</c:v>
                </c:pt>
                <c:pt idx="35">
                  <c:v>25</c:v>
                </c:pt>
                <c:pt idx="36">
                  <c:v>42</c:v>
                </c:pt>
                <c:pt idx="37">
                  <c:v>35</c:v>
                </c:pt>
                <c:pt idx="38">
                  <c:v>25</c:v>
                </c:pt>
                <c:pt idx="39">
                  <c:v>20</c:v>
                </c:pt>
                <c:pt idx="40">
                  <c:v>83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35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10</c:v>
                </c:pt>
                <c:pt idx="49">
                  <c:v>12</c:v>
                </c:pt>
                <c:pt idx="50">
                  <c:v>10</c:v>
                </c:pt>
                <c:pt idx="51">
                  <c:v>20</c:v>
                </c:pt>
                <c:pt idx="52">
                  <c:v>20</c:v>
                </c:pt>
                <c:pt idx="53">
                  <c:v>15</c:v>
                </c:pt>
                <c:pt idx="54">
                  <c:v>13</c:v>
                </c:pt>
                <c:pt idx="55">
                  <c:v>4</c:v>
                </c:pt>
                <c:pt idx="56">
                  <c:v>15</c:v>
                </c:pt>
                <c:pt idx="57">
                  <c:v>14</c:v>
                </c:pt>
                <c:pt idx="58">
                  <c:v>10</c:v>
                </c:pt>
                <c:pt idx="59">
                  <c:v>6</c:v>
                </c:pt>
                <c:pt idx="60">
                  <c:v>30</c:v>
                </c:pt>
                <c:pt idx="6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D4-4617-99CF-77A61143F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44303"/>
        <c:axId val="2086030863"/>
      </c:scatterChart>
      <c:valAx>
        <c:axId val="208604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30863"/>
        <c:crosses val="autoZero"/>
        <c:crossBetween val="midCat"/>
      </c:valAx>
      <c:valAx>
        <c:axId val="208603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4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38099</xdr:colOff>
      <xdr:row>1</xdr:row>
      <xdr:rowOff>128586</xdr:rowOff>
    </xdr:from>
    <xdr:to>
      <xdr:col>34</xdr:col>
      <xdr:colOff>47624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ED8391-C942-783A-374C-62112C35D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ddick, David (DFO/MPO)" refreshedDate="46049.393427430557" createdVersion="8" refreshedVersion="8" minRefreshableVersion="3" recordCount="461" xr:uid="{BBB9847F-48C8-4BC7-9D0B-CC1ECDFF2BB2}">
  <cacheSource type="worksheet">
    <worksheetSource ref="A1:I357" sheet="Sheet1"/>
  </cacheSource>
  <cacheFields count="9">
    <cacheField name="Location" numFmtId="0">
      <sharedItems/>
    </cacheField>
    <cacheField name="Transect" numFmtId="0">
      <sharedItems/>
    </cacheField>
    <cacheField name="Gear" numFmtId="0">
      <sharedItems/>
    </cacheField>
    <cacheField name="Date" numFmtId="14">
      <sharedItems containsSemiMixedTypes="0" containsNonDate="0" containsDate="1" containsString="0" minDate="2025-05-14T00:00:00" maxDate="2028-10-29T00:00:00"/>
    </cacheField>
    <cacheField name="Species " numFmtId="0">
      <sharedItems count="21">
        <s v="BB"/>
        <s v="BF"/>
        <s v="BW"/>
        <s v="CC"/>
        <s v="Ccat"/>
        <s v="CHS"/>
        <s v="FWD"/>
        <s v="GF"/>
        <s v="GZ"/>
        <s v="LMB"/>
        <s v="LP"/>
        <s v="NP"/>
        <s v="PS"/>
        <s v="RB"/>
        <s v="RD"/>
        <s v="RG"/>
        <s v="RT"/>
        <s v="WE"/>
        <s v="WP"/>
        <s v="WS"/>
        <s v="YP"/>
      </sharedItems>
    </cacheField>
    <cacheField name="ForkLength_mm" numFmtId="0">
      <sharedItems containsSemiMixedTypes="0" containsString="0" containsNumber="1" containsInteger="1" minValue="34" maxValue="943"/>
    </cacheField>
    <cacheField name="Width_mm" numFmtId="0">
      <sharedItems containsString="0" containsBlank="1" containsNumber="1" containsInteger="1" minValue="4" maxValue="8620"/>
    </cacheField>
    <cacheField name="Mass_g" numFmtId="0">
      <sharedItems containsSemiMixedTypes="0" containsString="0" containsNumber="1" containsInteger="1" minValue="4" maxValue="5950"/>
    </cacheField>
    <cacheField name="Measuring Devi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s v="JH"/>
    <s v="JH_5"/>
    <s v="Efishing"/>
    <d v="2025-05-26T00:00:00"/>
    <x v="0"/>
    <n v="377"/>
    <n v="72"/>
    <n v="450"/>
    <m/>
  </r>
  <r>
    <s v="JH"/>
    <s v="JH_6"/>
    <s v="Efishing"/>
    <d v="2025-05-26T00:00:00"/>
    <x v="0"/>
    <n v="342"/>
    <n v="65"/>
    <n v="558"/>
    <m/>
  </r>
  <r>
    <s v="JH"/>
    <s v="JH_6"/>
    <s v="Efishing"/>
    <d v="2025-05-26T00:00:00"/>
    <x v="0"/>
    <n v="360"/>
    <n v="80"/>
    <n v="615"/>
    <m/>
  </r>
  <r>
    <s v="HH"/>
    <s v="HH36"/>
    <s v="Efishing"/>
    <d v="2025-05-26T00:00:00"/>
    <x v="0"/>
    <n v="126"/>
    <n v="25"/>
    <n v="25"/>
    <m/>
  </r>
  <r>
    <s v="HH"/>
    <s v="HH14"/>
    <s v="Efishing"/>
    <d v="2025-05-15T00:00:00"/>
    <x v="0"/>
    <n v="204"/>
    <n v="42"/>
    <n v="100"/>
    <m/>
  </r>
  <r>
    <s v="JH"/>
    <s v="JH_8"/>
    <s v="Efishing"/>
    <d v="2025-05-15T00:00:00"/>
    <x v="0"/>
    <n v="400"/>
    <n v="65"/>
    <n v="493"/>
    <m/>
  </r>
  <r>
    <s v="JH"/>
    <s v="JH_8"/>
    <s v="Efishing"/>
    <d v="2025-05-15T00:00:00"/>
    <x v="0"/>
    <n v="349"/>
    <n v="72"/>
    <n v="680"/>
    <m/>
  </r>
  <r>
    <s v="JH"/>
    <s v="JH_8"/>
    <s v="Efishing"/>
    <d v="2025-05-15T00:00:00"/>
    <x v="0"/>
    <n v="342"/>
    <n v="65"/>
    <n v="568"/>
    <m/>
  </r>
  <r>
    <s v="JH"/>
    <s v="JH_8"/>
    <s v="Efishing"/>
    <d v="2025-05-15T00:00:00"/>
    <x v="0"/>
    <n v="331"/>
    <n v="65"/>
    <n v="566"/>
    <m/>
  </r>
  <r>
    <s v="JH"/>
    <s v="JH_9"/>
    <s v="Efishing"/>
    <d v="2025-05-15T00:00:00"/>
    <x v="0"/>
    <n v="250"/>
    <n v="58"/>
    <n v="330"/>
    <m/>
  </r>
  <r>
    <s v="JH"/>
    <s v="JH_9"/>
    <s v="Efishing"/>
    <d v="2025-05-15T00:00:00"/>
    <x v="0"/>
    <n v="356"/>
    <n v="74"/>
    <n v="710"/>
    <m/>
  </r>
  <r>
    <s v="JH"/>
    <s v="JH_7"/>
    <s v="Efishing"/>
    <d v="2025-05-15T00:00:00"/>
    <x v="0"/>
    <n v="314"/>
    <n v="52"/>
    <n v="570"/>
    <m/>
  </r>
  <r>
    <s v="JH"/>
    <s v="JH_7"/>
    <s v="Efishing"/>
    <d v="2025-05-15T00:00:00"/>
    <x v="0"/>
    <n v="367"/>
    <n v="70"/>
    <n v="790"/>
    <m/>
  </r>
  <r>
    <s v="JH"/>
    <s v="JH_7"/>
    <s v="Efishing"/>
    <d v="2025-05-15T00:00:00"/>
    <x v="0"/>
    <n v="329"/>
    <n v="51"/>
    <n v="540"/>
    <m/>
  </r>
  <r>
    <s v="JH"/>
    <s v="JH_7"/>
    <s v="Efishing"/>
    <d v="2025-05-15T00:00:00"/>
    <x v="0"/>
    <n v="284"/>
    <n v="54"/>
    <n v="340"/>
    <m/>
  </r>
  <r>
    <s v="JH"/>
    <s v="JH_7"/>
    <s v="Efishing"/>
    <d v="2025-05-15T00:00:00"/>
    <x v="0"/>
    <n v="302"/>
    <n v="49"/>
    <n v="440"/>
    <m/>
  </r>
  <r>
    <s v="JH"/>
    <s v="JH_7"/>
    <s v="Efishing"/>
    <d v="2025-05-15T00:00:00"/>
    <x v="0"/>
    <n v="320"/>
    <n v="51"/>
    <n v="402"/>
    <m/>
  </r>
  <r>
    <s v="JH"/>
    <s v="JH_7"/>
    <s v="Efishing"/>
    <d v="2025-05-15T00:00:00"/>
    <x v="0"/>
    <n v="325"/>
    <n v="58"/>
    <n v="580"/>
    <m/>
  </r>
  <r>
    <s v="JH"/>
    <s v="JH_1"/>
    <s v="Efishing"/>
    <d v="2025-05-15T00:00:00"/>
    <x v="0"/>
    <n v="345"/>
    <n v="63"/>
    <n v="670"/>
    <m/>
  </r>
  <r>
    <s v="JH"/>
    <s v="JH_4"/>
    <s v="Efishing"/>
    <d v="2025-05-15T00:00:00"/>
    <x v="0"/>
    <n v="300"/>
    <n v="51"/>
    <n v="413"/>
    <m/>
  </r>
  <r>
    <s v="JH"/>
    <s v="JH_4"/>
    <s v="Efishing"/>
    <d v="2025-05-15T00:00:00"/>
    <x v="0"/>
    <n v="326"/>
    <n v="41"/>
    <n v="500"/>
    <m/>
  </r>
  <r>
    <s v="JH"/>
    <s v="JH_4"/>
    <s v="Efishing"/>
    <d v="2025-05-15T00:00:00"/>
    <x v="0"/>
    <n v="275"/>
    <n v="42"/>
    <n v="208"/>
    <m/>
  </r>
  <r>
    <s v="JH"/>
    <s v="JH_4"/>
    <s v="Efishing"/>
    <d v="2025-05-15T00:00:00"/>
    <x v="0"/>
    <n v="278"/>
    <n v="50"/>
    <n v="348"/>
    <m/>
  </r>
  <r>
    <s v="JH"/>
    <s v="JH_6"/>
    <s v="Efishing"/>
    <d v="2025-05-15T00:00:00"/>
    <x v="0"/>
    <n v="325"/>
    <n v="55"/>
    <n v="590"/>
    <m/>
  </r>
  <r>
    <s v="JH"/>
    <s v="JH_6"/>
    <s v="Efishing"/>
    <d v="2025-05-15T00:00:00"/>
    <x v="0"/>
    <n v="280"/>
    <n v="45"/>
    <n v="346"/>
    <m/>
  </r>
  <r>
    <s v="JH"/>
    <s v="JH_6"/>
    <s v="Efishing"/>
    <d v="2025-05-15T00:00:00"/>
    <x v="0"/>
    <n v="316"/>
    <n v="46"/>
    <n v="481"/>
    <m/>
  </r>
  <r>
    <s v="JH"/>
    <s v="JH_6"/>
    <s v="Efishing"/>
    <d v="2025-05-15T00:00:00"/>
    <x v="0"/>
    <n v="315"/>
    <n v="45"/>
    <n v="420"/>
    <m/>
  </r>
  <r>
    <s v="JH"/>
    <s v="JH_6"/>
    <s v="Efishing"/>
    <d v="2025-05-15T00:00:00"/>
    <x v="0"/>
    <n v="295"/>
    <n v="48"/>
    <n v="399"/>
    <m/>
  </r>
  <r>
    <s v="JH"/>
    <s v="JH_6"/>
    <s v="Efishing"/>
    <d v="2025-05-15T00:00:00"/>
    <x v="0"/>
    <n v="335"/>
    <n v="49"/>
    <n v="540"/>
    <m/>
  </r>
  <r>
    <s v="JH"/>
    <s v="JH_5"/>
    <s v="Efishing"/>
    <d v="2025-05-15T00:00:00"/>
    <x v="0"/>
    <n v="318"/>
    <n v="45"/>
    <n v="460"/>
    <m/>
  </r>
  <r>
    <s v="JH"/>
    <s v="JH_5"/>
    <s v="Efishing"/>
    <d v="2025-05-15T00:00:00"/>
    <x v="0"/>
    <n v="295"/>
    <n v="50"/>
    <n v="386"/>
    <s v="RECAP: 160701"/>
  </r>
  <r>
    <s v="JH"/>
    <s v="JH_5"/>
    <s v="Efishing"/>
    <d v="2025-05-26T00:00:00"/>
    <x v="0"/>
    <n v="377"/>
    <n v="72"/>
    <n v="450"/>
    <s v="Plastic"/>
  </r>
  <r>
    <s v="JH"/>
    <s v="JH_6"/>
    <s v="Efishing"/>
    <d v="2025-05-26T00:00:00"/>
    <x v="0"/>
    <n v="342"/>
    <n v="65"/>
    <n v="558"/>
    <s v="Plastic"/>
  </r>
  <r>
    <s v="JH"/>
    <s v="JH_6"/>
    <s v="Efishing"/>
    <d v="2025-05-26T00:00:00"/>
    <x v="0"/>
    <n v="360"/>
    <n v="80"/>
    <n v="615"/>
    <s v="Plastic"/>
  </r>
  <r>
    <s v="HH"/>
    <s v="HH36"/>
    <s v="Efishing"/>
    <d v="2025-05-26T00:00:00"/>
    <x v="0"/>
    <n v="126"/>
    <n v="25"/>
    <n v="25"/>
    <s v="Plastic"/>
  </r>
  <r>
    <s v="HH"/>
    <s v="HH14"/>
    <s v="Efishing"/>
    <d v="2025-05-15T00:00:00"/>
    <x v="0"/>
    <n v="204"/>
    <n v="42"/>
    <n v="100"/>
    <s v="Plastic"/>
  </r>
  <r>
    <s v="JH"/>
    <s v="JH_8"/>
    <s v="Efishing"/>
    <d v="2025-05-15T00:00:00"/>
    <x v="0"/>
    <n v="400"/>
    <n v="65"/>
    <n v="493"/>
    <s v="Plastic"/>
  </r>
  <r>
    <s v="JH"/>
    <s v="JH_8"/>
    <s v="Efishing"/>
    <d v="2025-05-15T00:00:00"/>
    <x v="0"/>
    <n v="349"/>
    <n v="72"/>
    <n v="680"/>
    <s v="Plastic"/>
  </r>
  <r>
    <s v="JH"/>
    <s v="JH_8"/>
    <s v="Efishing"/>
    <d v="2025-05-15T00:00:00"/>
    <x v="0"/>
    <n v="342"/>
    <n v="65"/>
    <n v="568"/>
    <s v="Plastic"/>
  </r>
  <r>
    <s v="JH"/>
    <s v="JH_8"/>
    <s v="Efishing"/>
    <d v="2025-05-15T00:00:00"/>
    <x v="0"/>
    <n v="331"/>
    <n v="65"/>
    <n v="566"/>
    <s v="Plastic"/>
  </r>
  <r>
    <s v="JH"/>
    <s v="JH_9"/>
    <s v="Efishing"/>
    <d v="2025-05-15T00:00:00"/>
    <x v="0"/>
    <n v="250"/>
    <n v="58"/>
    <n v="330"/>
    <s v="Plastic"/>
  </r>
  <r>
    <s v="JH"/>
    <s v="JH_9"/>
    <s v="Efishing"/>
    <d v="2025-05-15T00:00:00"/>
    <x v="0"/>
    <n v="356"/>
    <n v="74"/>
    <n v="710"/>
    <s v="Plastic"/>
  </r>
  <r>
    <s v="JH"/>
    <s v="JH_7"/>
    <s v="Efishing"/>
    <d v="2025-05-15T00:00:00"/>
    <x v="0"/>
    <n v="314"/>
    <n v="52"/>
    <n v="570"/>
    <s v="Plastic"/>
  </r>
  <r>
    <s v="JH"/>
    <s v="JH_7"/>
    <s v="Efishing"/>
    <d v="2025-05-15T00:00:00"/>
    <x v="0"/>
    <n v="367"/>
    <n v="70"/>
    <n v="790"/>
    <s v="Plastic"/>
  </r>
  <r>
    <s v="JH"/>
    <s v="JH_7"/>
    <s v="Efishing"/>
    <d v="2025-05-15T00:00:00"/>
    <x v="0"/>
    <n v="329"/>
    <n v="51"/>
    <n v="540"/>
    <s v="Plastic"/>
  </r>
  <r>
    <s v="JH"/>
    <s v="JH_7"/>
    <s v="Efishing"/>
    <d v="2025-05-15T00:00:00"/>
    <x v="0"/>
    <n v="284"/>
    <n v="54"/>
    <n v="340"/>
    <s v="Plastic"/>
  </r>
  <r>
    <s v="JH"/>
    <s v="JH_7"/>
    <s v="Efishing"/>
    <d v="2025-05-15T00:00:00"/>
    <x v="0"/>
    <n v="302"/>
    <n v="49"/>
    <n v="440"/>
    <s v="Plastic"/>
  </r>
  <r>
    <s v="JH"/>
    <s v="JH_7"/>
    <s v="Efishing"/>
    <d v="2025-05-15T00:00:00"/>
    <x v="0"/>
    <n v="320"/>
    <n v="51"/>
    <n v="402"/>
    <s v="Plastic"/>
  </r>
  <r>
    <s v="JH"/>
    <s v="JH_7"/>
    <s v="Efishing"/>
    <d v="2025-05-15T00:00:00"/>
    <x v="0"/>
    <n v="325"/>
    <n v="58"/>
    <n v="580"/>
    <s v="Plastic"/>
  </r>
  <r>
    <s v="JH"/>
    <s v="JH_1"/>
    <s v="Efishing"/>
    <d v="2025-05-15T00:00:00"/>
    <x v="0"/>
    <n v="345"/>
    <n v="63"/>
    <n v="670"/>
    <s v="Plastic"/>
  </r>
  <r>
    <s v="JH"/>
    <s v="JH_4"/>
    <s v="Efishing"/>
    <d v="2025-05-15T00:00:00"/>
    <x v="0"/>
    <n v="300"/>
    <n v="51"/>
    <n v="413"/>
    <s v="Plastic"/>
  </r>
  <r>
    <s v="JH"/>
    <s v="JH_4"/>
    <s v="Efishing"/>
    <d v="2025-05-15T00:00:00"/>
    <x v="0"/>
    <n v="326"/>
    <n v="41"/>
    <n v="500"/>
    <s v="Plastic"/>
  </r>
  <r>
    <s v="JH"/>
    <s v="JH_4"/>
    <s v="Efishing"/>
    <d v="2025-05-15T00:00:00"/>
    <x v="0"/>
    <n v="275"/>
    <n v="42"/>
    <n v="208"/>
    <s v="Plastic"/>
  </r>
  <r>
    <s v="JH"/>
    <s v="JH_4"/>
    <s v="Efishing"/>
    <d v="2025-05-15T00:00:00"/>
    <x v="0"/>
    <n v="278"/>
    <n v="50"/>
    <n v="348"/>
    <s v="Plastic"/>
  </r>
  <r>
    <s v="JH"/>
    <s v="JH_6"/>
    <s v="Efishing"/>
    <d v="2025-05-15T00:00:00"/>
    <x v="0"/>
    <n v="325"/>
    <n v="55"/>
    <n v="590"/>
    <s v="Plastic"/>
  </r>
  <r>
    <s v="JH"/>
    <s v="JH_6"/>
    <s v="Efishing"/>
    <d v="2025-05-15T00:00:00"/>
    <x v="0"/>
    <n v="280"/>
    <n v="45"/>
    <n v="346"/>
    <s v="Plastic"/>
  </r>
  <r>
    <s v="JH"/>
    <s v="JH_6"/>
    <s v="Efishing"/>
    <d v="2025-05-15T00:00:00"/>
    <x v="0"/>
    <n v="316"/>
    <n v="46"/>
    <n v="481"/>
    <s v="Plastic"/>
  </r>
  <r>
    <s v="JH"/>
    <s v="JH_6"/>
    <s v="Efishing"/>
    <d v="2025-05-15T00:00:00"/>
    <x v="0"/>
    <n v="315"/>
    <n v="45"/>
    <n v="420"/>
    <s v="Plastic"/>
  </r>
  <r>
    <s v="JH"/>
    <s v="JH_6"/>
    <s v="Efishing"/>
    <d v="2025-05-15T00:00:00"/>
    <x v="0"/>
    <n v="295"/>
    <n v="48"/>
    <n v="399"/>
    <s v="Plastic"/>
  </r>
  <r>
    <s v="JH"/>
    <s v="JH_6"/>
    <s v="Efishing"/>
    <d v="2025-05-15T00:00:00"/>
    <x v="0"/>
    <n v="335"/>
    <n v="49"/>
    <n v="540"/>
    <s v="Plastic"/>
  </r>
  <r>
    <s v="JH"/>
    <s v="JH_5"/>
    <s v="Efishing"/>
    <d v="2025-05-15T00:00:00"/>
    <x v="0"/>
    <n v="318"/>
    <n v="45"/>
    <n v="460"/>
    <s v="Plastic"/>
  </r>
  <r>
    <s v="JH"/>
    <s v="JH_5"/>
    <s v="Efishing"/>
    <d v="2025-05-15T00:00:00"/>
    <x v="0"/>
    <n v="295"/>
    <n v="50"/>
    <n v="386"/>
    <s v="Plastic"/>
  </r>
  <r>
    <s v="HH"/>
    <s v="HH17"/>
    <s v="Efishing"/>
    <d v="2025-10-15T00:00:00"/>
    <x v="0"/>
    <n v="150"/>
    <n v="59"/>
    <n v="25"/>
    <s v="Plastic"/>
  </r>
  <r>
    <s v="HH"/>
    <s v="HH17"/>
    <s v="Efishing"/>
    <d v="2025-10-15T00:00:00"/>
    <x v="0"/>
    <n v="132"/>
    <n v="51"/>
    <n v="25"/>
    <s v="Plastic"/>
  </r>
  <r>
    <s v="HH"/>
    <s v="HH19"/>
    <s v="Efishing"/>
    <d v="2025-10-15T00:00:00"/>
    <x v="0"/>
    <n v="196"/>
    <n v="91"/>
    <n v="30"/>
    <s v="Plastic"/>
  </r>
  <r>
    <s v="HH"/>
    <s v="HH19"/>
    <s v="Efishing"/>
    <d v="2025-10-15T00:00:00"/>
    <x v="0"/>
    <n v="215"/>
    <n v="121"/>
    <n v="10"/>
    <s v="Plastic"/>
  </r>
  <r>
    <s v="HH"/>
    <s v="HH19"/>
    <s v="Efishing"/>
    <d v="2025-10-15T00:00:00"/>
    <x v="0"/>
    <n v="175"/>
    <n v="73"/>
    <n v="25"/>
    <s v="Plastic"/>
  </r>
  <r>
    <s v="HH"/>
    <s v="HH28"/>
    <s v="Efishing"/>
    <d v="2025-10-15T00:00:00"/>
    <x v="0"/>
    <n v="219"/>
    <n v="143"/>
    <n v="40"/>
    <s v="Plastic"/>
  </r>
  <r>
    <s v="HH"/>
    <s v="HH17"/>
    <s v="Efishing"/>
    <d v="2025-10-14T00:00:00"/>
    <x v="0"/>
    <n v="155"/>
    <n v="46"/>
    <n v="25"/>
    <s v="Plastic"/>
  </r>
  <r>
    <s v="HH"/>
    <s v="HH19"/>
    <s v="Efishing"/>
    <d v="2025-10-14T00:00:00"/>
    <x v="0"/>
    <n v="82"/>
    <n v="7"/>
    <n v="15"/>
    <s v="Plastic"/>
  </r>
  <r>
    <s v="HH"/>
    <s v="HH24"/>
    <s v="Efishing"/>
    <d v="2025-10-14T00:00:00"/>
    <x v="0"/>
    <n v="290"/>
    <n v="360"/>
    <n v="50"/>
    <s v="Plastic"/>
  </r>
  <r>
    <s v="HH"/>
    <s v="HH24"/>
    <s v="Efishing"/>
    <d v="2025-10-14T00:00:00"/>
    <x v="0"/>
    <n v="225"/>
    <n v="108"/>
    <n v="40"/>
    <s v="Plastic"/>
  </r>
  <r>
    <s v="HH"/>
    <s v="HH24"/>
    <s v="Efishing"/>
    <d v="2025-10-14T00:00:00"/>
    <x v="0"/>
    <n v="240"/>
    <n v="190"/>
    <n v="40"/>
    <s v="Plastic"/>
  </r>
  <r>
    <s v="HH"/>
    <s v="HH22"/>
    <s v="Efishing"/>
    <d v="2025-10-14T00:00:00"/>
    <x v="0"/>
    <n v="270"/>
    <n v="291"/>
    <n v="45"/>
    <s v="Plastic"/>
  </r>
  <r>
    <s v="HH"/>
    <s v="HH26"/>
    <s v="Efishing"/>
    <d v="2025-10-14T00:00:00"/>
    <x v="0"/>
    <n v="345"/>
    <n v="690"/>
    <n v="70"/>
    <s v="Plastic"/>
  </r>
  <r>
    <s v="HH"/>
    <s v="HH26"/>
    <s v="Efishing"/>
    <d v="2025-10-14T00:00:00"/>
    <x v="0"/>
    <n v="280"/>
    <n v="340"/>
    <n v="50"/>
    <s v="Plastic"/>
  </r>
  <r>
    <s v="HH"/>
    <s v="HH26"/>
    <s v="Efishing"/>
    <d v="2025-10-14T00:00:00"/>
    <x v="0"/>
    <n v="220"/>
    <n v="183"/>
    <n v="40"/>
    <s v="Plastic"/>
  </r>
  <r>
    <s v="HH"/>
    <s v="HH26"/>
    <s v="Efishing"/>
    <d v="2025-10-14T00:00:00"/>
    <x v="0"/>
    <n v="254"/>
    <n v="256"/>
    <n v="45"/>
    <s v="Plastic"/>
  </r>
  <r>
    <s v="HH"/>
    <s v="HH26"/>
    <s v="Efishing"/>
    <d v="2025-10-14T00:00:00"/>
    <x v="0"/>
    <n v="205"/>
    <n v="103"/>
    <n v="40"/>
    <s v="Plastic"/>
  </r>
  <r>
    <s v="HH"/>
    <s v="HH26"/>
    <s v="Efishing"/>
    <d v="2025-10-14T00:00:00"/>
    <x v="0"/>
    <n v="211"/>
    <n v="130"/>
    <n v="35"/>
    <s v="Plastic"/>
  </r>
  <r>
    <s v="HH"/>
    <s v="HH28"/>
    <s v="Efishing"/>
    <d v="2025-10-14T00:00:00"/>
    <x v="0"/>
    <n v="270"/>
    <n v="297"/>
    <n v="50"/>
    <s v="Plastic"/>
  </r>
  <r>
    <s v="HH"/>
    <s v="HH28"/>
    <s v="Efishing"/>
    <d v="2025-10-14T00:00:00"/>
    <x v="0"/>
    <n v="260"/>
    <n v="239"/>
    <n v="45"/>
    <s v="Plastic"/>
  </r>
  <r>
    <s v="HH"/>
    <s v="HH28"/>
    <s v="Efishing"/>
    <d v="2025-10-14T00:00:00"/>
    <x v="0"/>
    <n v="226"/>
    <n v="162"/>
    <n v="45"/>
    <s v="Plastic"/>
  </r>
  <r>
    <s v="HH"/>
    <s v="HH28"/>
    <s v="Efishing"/>
    <d v="2025-10-14T00:00:00"/>
    <x v="0"/>
    <n v="238"/>
    <n v="201"/>
    <n v="45"/>
    <s v="Plastic"/>
  </r>
  <r>
    <s v="HH"/>
    <s v="HH28"/>
    <s v="Efishing"/>
    <d v="2025-10-14T00:00:00"/>
    <x v="0"/>
    <n v="186"/>
    <n v="88"/>
    <n v="45"/>
    <s v="Plastic"/>
  </r>
  <r>
    <s v="HH"/>
    <s v="HH28"/>
    <s v="Efishing"/>
    <d v="2025-10-14T00:00:00"/>
    <x v="0"/>
    <n v="310"/>
    <n v="394"/>
    <n v="55"/>
    <s v="Plastic"/>
  </r>
  <r>
    <s v="HH"/>
    <s v="HH28"/>
    <s v="Efishing"/>
    <d v="2025-10-14T00:00:00"/>
    <x v="0"/>
    <n v="213"/>
    <n v="142"/>
    <n v="40"/>
    <s v="Plastic"/>
  </r>
  <r>
    <s v="HH"/>
    <s v="HH28"/>
    <s v="Efishing"/>
    <d v="2025-10-14T00:00:00"/>
    <x v="0"/>
    <n v="187"/>
    <n v="84"/>
    <n v="40"/>
    <s v="Plastic"/>
  </r>
  <r>
    <s v="HH"/>
    <s v="HH10"/>
    <s v="Efishing"/>
    <d v="2025-10-15T00:00:00"/>
    <x v="0"/>
    <n v="115"/>
    <n v="19"/>
    <n v="20"/>
    <s v="Plastic"/>
  </r>
  <r>
    <s v="HH"/>
    <s v="HH11"/>
    <s v="Efishing"/>
    <d v="2025-10-15T00:00:00"/>
    <x v="0"/>
    <n v="210"/>
    <n v="147"/>
    <n v="40"/>
    <s v="Plastic"/>
  </r>
  <r>
    <s v="HH"/>
    <s v="HH32"/>
    <s v="Efishing"/>
    <d v="2025-10-15T00:00:00"/>
    <x v="0"/>
    <n v="130"/>
    <n v="30"/>
    <n v="22"/>
    <s v="Plastic"/>
  </r>
  <r>
    <s v="HH"/>
    <s v="HH32"/>
    <s v="Efishing"/>
    <d v="2025-10-15T00:00:00"/>
    <x v="0"/>
    <n v="179"/>
    <n v="75"/>
    <n v="30"/>
    <s v="Plastic"/>
  </r>
  <r>
    <s v="HH"/>
    <s v="HH32"/>
    <s v="Efishing"/>
    <d v="2025-10-15T00:00:00"/>
    <x v="0"/>
    <n v="123"/>
    <n v="23"/>
    <n v="21"/>
    <s v="Plastic"/>
  </r>
  <r>
    <s v="HH"/>
    <s v="HH32"/>
    <s v="Efishing"/>
    <d v="2025-10-15T00:00:00"/>
    <x v="0"/>
    <n v="200"/>
    <n v="114"/>
    <n v="40"/>
    <s v="Plastic"/>
  </r>
  <r>
    <s v="HH"/>
    <s v="HH32"/>
    <s v="Efishing"/>
    <d v="2025-10-15T00:00:00"/>
    <x v="0"/>
    <n v="191"/>
    <n v="135"/>
    <n v="35"/>
    <s v="Plastic"/>
  </r>
  <r>
    <s v="HH"/>
    <s v="HH32"/>
    <s v="Efishing"/>
    <d v="2025-10-15T00:00:00"/>
    <x v="0"/>
    <n v="174"/>
    <n v="83"/>
    <n v="25"/>
    <s v="Plastic"/>
  </r>
  <r>
    <s v="HH"/>
    <s v="HH32"/>
    <s v="Efishing"/>
    <d v="2025-10-15T00:00:00"/>
    <x v="0"/>
    <n v="142"/>
    <n v="41"/>
    <n v="20"/>
    <s v="Plastic"/>
  </r>
  <r>
    <s v="HH"/>
    <s v="HH32"/>
    <s v="Efishing"/>
    <d v="2025-10-15T00:00:00"/>
    <x v="0"/>
    <n v="186"/>
    <n v="88"/>
    <n v="30"/>
    <s v="Plastic"/>
  </r>
  <r>
    <s v="HH"/>
    <s v="HH42"/>
    <s v="Efishing"/>
    <d v="2025-10-16T00:00:00"/>
    <x v="0"/>
    <n v="266"/>
    <n v="269"/>
    <n v="40"/>
    <s v="Plastic"/>
  </r>
  <r>
    <s v="HH"/>
    <s v="HH38"/>
    <s v="Efishing"/>
    <d v="2025-10-21T00:00:00"/>
    <x v="0"/>
    <n v="206"/>
    <n v="89"/>
    <n v="42"/>
    <s v="Plastic"/>
  </r>
  <r>
    <s v="HH"/>
    <s v="HH38"/>
    <s v="Efishing"/>
    <d v="2025-10-21T00:00:00"/>
    <x v="0"/>
    <n v="141"/>
    <n v="37"/>
    <n v="28"/>
    <s v="Plastic"/>
  </r>
  <r>
    <s v="HH"/>
    <s v="HH44"/>
    <s v="Efishing"/>
    <d v="2025-05-22T00:00:00"/>
    <x v="1"/>
    <n v="511"/>
    <n v="650"/>
    <n v="1330"/>
    <m/>
  </r>
  <r>
    <s v="HH"/>
    <s v="HH44"/>
    <s v="Efishing"/>
    <d v="2025-05-22T00:00:00"/>
    <x v="1"/>
    <n v="420"/>
    <n v="450"/>
    <n v="750"/>
    <s v="I think this was done in inches so I corrected  "/>
  </r>
  <r>
    <s v="HH"/>
    <s v="HH44"/>
    <s v="Efishing"/>
    <d v="2025-05-22T00:00:00"/>
    <x v="1"/>
    <n v="511"/>
    <n v="650"/>
    <n v="1330"/>
    <s v="Plastic"/>
  </r>
  <r>
    <s v="HH"/>
    <s v="HH44"/>
    <s v="Efishing"/>
    <d v="2025-05-22T00:00:00"/>
    <x v="1"/>
    <n v="420"/>
    <n v="450"/>
    <n v="750"/>
    <s v="Plastic"/>
  </r>
  <r>
    <s v="HH"/>
    <s v="HH39"/>
    <s v="Efishing"/>
    <d v="2025-05-14T00:00:00"/>
    <x v="2"/>
    <n v="392"/>
    <n v="58"/>
    <n v="610"/>
    <m/>
  </r>
  <r>
    <s v="HH"/>
    <s v="HH42B"/>
    <s v="Efishing"/>
    <d v="2025-05-14T00:00:00"/>
    <x v="2"/>
    <n v="610"/>
    <n v="74"/>
    <n v="2070"/>
    <m/>
  </r>
  <r>
    <s v="HH"/>
    <s v="HH39"/>
    <s v="Efishing"/>
    <d v="2025-05-14T00:00:00"/>
    <x v="2"/>
    <n v="392"/>
    <n v="58"/>
    <n v="610"/>
    <s v="Plastic"/>
  </r>
  <r>
    <s v="HH"/>
    <s v="HH42B"/>
    <s v="Efishing"/>
    <d v="2025-05-14T00:00:00"/>
    <x v="2"/>
    <n v="610"/>
    <n v="74"/>
    <n v="2070"/>
    <s v="Plastic"/>
  </r>
  <r>
    <s v="HH"/>
    <s v="HH19"/>
    <s v="Efishing"/>
    <d v="2025-10-15T00:00:00"/>
    <x v="2"/>
    <n v="225"/>
    <n v="106"/>
    <n v="25"/>
    <s v="Plastic"/>
  </r>
  <r>
    <s v="HH"/>
    <s v="HH19"/>
    <s v="Efishing"/>
    <d v="2025-10-15T00:00:00"/>
    <x v="2"/>
    <n v="310"/>
    <n v="336"/>
    <n v="40"/>
    <s v="Plastic"/>
  </r>
  <r>
    <s v="HH"/>
    <s v="HH19"/>
    <s v="Efishing"/>
    <d v="2025-10-14T00:00:00"/>
    <x v="2"/>
    <n v="505"/>
    <n v="1680"/>
    <n v="65"/>
    <s v="Plastic"/>
  </r>
  <r>
    <s v="HH"/>
    <s v="HH19"/>
    <s v="Efishing"/>
    <d v="2025-10-14T00:00:00"/>
    <x v="2"/>
    <n v="593"/>
    <n v="2230"/>
    <n v="70"/>
    <s v="Plastic"/>
  </r>
  <r>
    <s v="HH"/>
    <s v="HH45"/>
    <s v="Efishing"/>
    <d v="2025-10-14T00:00:00"/>
    <x v="2"/>
    <n v="339"/>
    <n v="366"/>
    <n v="45"/>
    <s v="Plastic"/>
  </r>
  <r>
    <s v="HH"/>
    <s v="HH45"/>
    <s v="Efishing"/>
    <d v="2025-10-14T00:00:00"/>
    <x v="2"/>
    <n v="556"/>
    <n v="1970"/>
    <n v="85"/>
    <s v="Plastic"/>
  </r>
  <r>
    <s v="HH"/>
    <s v="HH11"/>
    <s v="Efishing"/>
    <d v="2025-10-15T00:00:00"/>
    <x v="2"/>
    <n v="683"/>
    <n v="3390"/>
    <n v="85"/>
    <s v="Plastic"/>
  </r>
  <r>
    <s v="HH"/>
    <s v="HH26"/>
    <s v="Efishing"/>
    <d v="2025-10-15T00:00:00"/>
    <x v="3"/>
    <n v="575"/>
    <n v="3590"/>
    <n v="95"/>
    <s v="Plastic"/>
  </r>
  <r>
    <s v="HH"/>
    <s v="HH19"/>
    <s v="Efishing"/>
    <d v="2025-10-14T00:00:00"/>
    <x v="3"/>
    <n v="104"/>
    <n v="23"/>
    <n v="15"/>
    <s v="Plastic"/>
  </r>
  <r>
    <s v="HH"/>
    <s v="HH26"/>
    <s v="Efishing"/>
    <d v="2025-10-14T00:00:00"/>
    <x v="3"/>
    <n v="265"/>
    <n v="358"/>
    <n v="40"/>
    <s v="Plastic"/>
  </r>
  <r>
    <s v="HH"/>
    <s v="HH34"/>
    <s v="Efishing"/>
    <d v="2025-10-21T00:00:00"/>
    <x v="3"/>
    <n v="564"/>
    <n v="4120"/>
    <n v="95"/>
    <s v="Plastic"/>
  </r>
  <r>
    <s v="HH"/>
    <s v="HH30"/>
    <s v="Efishing"/>
    <d v="2026-12-05T00:00:00"/>
    <x v="4"/>
    <n v="638"/>
    <n v="126"/>
    <n v="5110"/>
    <m/>
  </r>
  <r>
    <s v="HH"/>
    <s v="HH30"/>
    <s v="Efishing"/>
    <d v="2026-12-05T00:00:00"/>
    <x v="4"/>
    <n v="638"/>
    <n v="126"/>
    <n v="5110"/>
    <s v="Plastic"/>
  </r>
  <r>
    <s v="HH"/>
    <s v="HH37"/>
    <s v="Efishing"/>
    <d v="2025-10-21T00:00:00"/>
    <x v="5"/>
    <n v="896"/>
    <n v="8620"/>
    <n v="90"/>
    <s v="Plastic"/>
  </r>
  <r>
    <s v="HH"/>
    <s v="HH30"/>
    <s v="Efishing"/>
    <d v="2025-10-21T00:00:00"/>
    <x v="5"/>
    <n v="725"/>
    <n v="5270"/>
    <n v="120"/>
    <s v="Plastic"/>
  </r>
  <r>
    <s v="HH"/>
    <s v="HH26"/>
    <s v="Efishing"/>
    <d v="2025-12-05T00:00:00"/>
    <x v="6"/>
    <n v="546"/>
    <n v="83"/>
    <n v="259"/>
    <m/>
  </r>
  <r>
    <s v="HH"/>
    <s v="HH42B"/>
    <s v="Efishing"/>
    <d v="2025-05-14T00:00:00"/>
    <x v="6"/>
    <n v="555"/>
    <n v="99"/>
    <n v="3020"/>
    <m/>
  </r>
  <r>
    <s v="JH"/>
    <s v="JH_2"/>
    <s v="Efishing"/>
    <d v="2025-05-15T00:00:00"/>
    <x v="6"/>
    <n v="588"/>
    <n v="88"/>
    <n v="3000"/>
    <s v="RECAP: 160388"/>
  </r>
  <r>
    <s v="HH"/>
    <s v="HH26"/>
    <s v="Efishing"/>
    <d v="2025-12-05T00:00:00"/>
    <x v="6"/>
    <n v="546"/>
    <n v="83"/>
    <n v="259"/>
    <s v="Plastic"/>
  </r>
  <r>
    <s v="HH"/>
    <s v="HH42B"/>
    <s v="Efishing"/>
    <d v="2025-05-14T00:00:00"/>
    <x v="6"/>
    <n v="555"/>
    <n v="99"/>
    <n v="3020"/>
    <s v="Plastic"/>
  </r>
  <r>
    <s v="JH"/>
    <s v="JH_2"/>
    <s v="Efishing"/>
    <d v="2025-05-15T00:00:00"/>
    <x v="6"/>
    <n v="588"/>
    <n v="88"/>
    <n v="3000"/>
    <s v="Plastic"/>
  </r>
  <r>
    <s v="JH"/>
    <s v="JH_9"/>
    <s v="Efishing"/>
    <d v="2025-05-15T00:00:00"/>
    <x v="7"/>
    <n v="245"/>
    <n v="42"/>
    <n v="302"/>
    <s v="RECAP: 362931"/>
  </r>
  <r>
    <s v="JH"/>
    <s v="JH_7"/>
    <s v="Efishing"/>
    <d v="2025-05-15T00:00:00"/>
    <x v="7"/>
    <n v="265"/>
    <n v="54"/>
    <n v="489"/>
    <m/>
  </r>
  <r>
    <s v="JH"/>
    <s v="JH_7"/>
    <s v="Efishing"/>
    <d v="2025-05-15T00:00:00"/>
    <x v="7"/>
    <n v="266"/>
    <n v="59"/>
    <n v="519"/>
    <m/>
  </r>
  <r>
    <s v="JH"/>
    <s v="JH_7"/>
    <s v="Efishing"/>
    <d v="2025-05-15T00:00:00"/>
    <x v="7"/>
    <n v="280"/>
    <n v="60"/>
    <n v="563"/>
    <m/>
  </r>
  <r>
    <s v="JH"/>
    <s v="JH_4"/>
    <s v="Efishing"/>
    <d v="2025-05-15T00:00:00"/>
    <x v="7"/>
    <n v="290"/>
    <n v="66"/>
    <n v="719"/>
    <m/>
  </r>
  <r>
    <s v="JH"/>
    <s v="JH_6"/>
    <s v="Efishing"/>
    <d v="2025-05-15T00:00:00"/>
    <x v="7"/>
    <n v="235"/>
    <n v="45"/>
    <n v="317"/>
    <m/>
  </r>
  <r>
    <s v="JH"/>
    <s v="JH_6"/>
    <s v="Efishing"/>
    <d v="2025-05-15T00:00:00"/>
    <x v="7"/>
    <n v="286"/>
    <n v="63"/>
    <n v="638"/>
    <m/>
  </r>
  <r>
    <s v="JH"/>
    <s v="JH_6"/>
    <s v="Efishing"/>
    <d v="2025-05-15T00:00:00"/>
    <x v="7"/>
    <n v="212"/>
    <n v="45"/>
    <n v="255"/>
    <m/>
  </r>
  <r>
    <s v="JH"/>
    <s v="JH_6"/>
    <s v="Efishing"/>
    <d v="2025-05-15T00:00:00"/>
    <x v="7"/>
    <n v="268"/>
    <n v="52"/>
    <n v="459"/>
    <s v="RECAP:160501"/>
  </r>
  <r>
    <s v="JH"/>
    <s v="JH_6"/>
    <s v="Efishing"/>
    <d v="2025-05-15T00:00:00"/>
    <x v="7"/>
    <n v="251"/>
    <n v="54"/>
    <n v="412"/>
    <m/>
  </r>
  <r>
    <s v="JH"/>
    <s v="JH_5"/>
    <s v="Efishing"/>
    <d v="2025-05-15T00:00:00"/>
    <x v="7"/>
    <n v="271"/>
    <n v="57"/>
    <n v="516"/>
    <m/>
  </r>
  <r>
    <s v="JH"/>
    <s v="JH_5"/>
    <s v="Efishing"/>
    <d v="2025-05-15T00:00:00"/>
    <x v="7"/>
    <n v="267"/>
    <n v="54"/>
    <n v="632"/>
    <m/>
  </r>
  <r>
    <s v="JH"/>
    <s v="JH_2"/>
    <s v="Efishing"/>
    <d v="2025-07-21T00:00:00"/>
    <x v="7"/>
    <n v="279"/>
    <n v="60"/>
    <n v="630"/>
    <m/>
  </r>
  <r>
    <s v="JH"/>
    <s v="JH_2"/>
    <s v="Efishing"/>
    <d v="2025-07-21T00:00:00"/>
    <x v="7"/>
    <n v="283"/>
    <n v="50"/>
    <n v="530"/>
    <m/>
  </r>
  <r>
    <s v="JH"/>
    <s v="JH_2"/>
    <s v="Efishing"/>
    <d v="2025-07-21T00:00:00"/>
    <x v="7"/>
    <n v="265"/>
    <n v="40"/>
    <n v="470"/>
    <m/>
  </r>
  <r>
    <s v="JH"/>
    <s v="JH_9"/>
    <s v="Efishing"/>
    <d v="2025-05-15T00:00:00"/>
    <x v="7"/>
    <n v="245"/>
    <n v="42"/>
    <n v="302"/>
    <s v="Plastic"/>
  </r>
  <r>
    <s v="JH"/>
    <s v="JH_7"/>
    <s v="Efishing"/>
    <d v="2025-05-15T00:00:00"/>
    <x v="7"/>
    <n v="265"/>
    <n v="54"/>
    <n v="489"/>
    <s v="Plastic"/>
  </r>
  <r>
    <s v="JH"/>
    <s v="JH_7"/>
    <s v="Efishing"/>
    <d v="2025-05-15T00:00:00"/>
    <x v="7"/>
    <n v="266"/>
    <n v="59"/>
    <n v="519"/>
    <s v="Plastic"/>
  </r>
  <r>
    <s v="JH"/>
    <s v="JH_7"/>
    <s v="Efishing"/>
    <d v="2025-05-15T00:00:00"/>
    <x v="7"/>
    <n v="280"/>
    <n v="60"/>
    <n v="563"/>
    <s v="Plastic"/>
  </r>
  <r>
    <s v="JH"/>
    <s v="JH_4"/>
    <s v="Efishing"/>
    <d v="2025-05-15T00:00:00"/>
    <x v="7"/>
    <n v="290"/>
    <n v="66"/>
    <n v="719"/>
    <s v="Plastic"/>
  </r>
  <r>
    <s v="JH"/>
    <s v="JH_6"/>
    <s v="Efishing"/>
    <d v="2025-05-15T00:00:00"/>
    <x v="7"/>
    <n v="235"/>
    <n v="45"/>
    <n v="317"/>
    <s v="Plastic"/>
  </r>
  <r>
    <s v="JH"/>
    <s v="JH_6"/>
    <s v="Efishing"/>
    <d v="2025-05-15T00:00:00"/>
    <x v="7"/>
    <n v="286"/>
    <n v="63"/>
    <n v="638"/>
    <s v="Plastic"/>
  </r>
  <r>
    <s v="JH"/>
    <s v="JH_6"/>
    <s v="Efishing"/>
    <d v="2025-05-15T00:00:00"/>
    <x v="7"/>
    <n v="212"/>
    <n v="45"/>
    <n v="255"/>
    <s v="Plastic"/>
  </r>
  <r>
    <s v="JH"/>
    <s v="JH_6"/>
    <s v="Efishing"/>
    <d v="2025-05-15T00:00:00"/>
    <x v="7"/>
    <n v="268"/>
    <n v="52"/>
    <n v="459"/>
    <s v="Plastic"/>
  </r>
  <r>
    <s v="JH"/>
    <s v="JH_6"/>
    <s v="Efishing"/>
    <d v="2025-05-15T00:00:00"/>
    <x v="7"/>
    <n v="251"/>
    <n v="54"/>
    <n v="412"/>
    <s v="Plastic"/>
  </r>
  <r>
    <s v="JH"/>
    <s v="JH_5"/>
    <s v="Efishing"/>
    <d v="2025-05-15T00:00:00"/>
    <x v="7"/>
    <n v="271"/>
    <n v="57"/>
    <n v="516"/>
    <s v="Plastic"/>
  </r>
  <r>
    <s v="JH"/>
    <s v="JH_5"/>
    <s v="Efishing"/>
    <d v="2025-05-15T00:00:00"/>
    <x v="7"/>
    <n v="267"/>
    <n v="54"/>
    <n v="632"/>
    <s v="Plastic"/>
  </r>
  <r>
    <s v="JH"/>
    <s v="JH_2"/>
    <s v="Efishing"/>
    <d v="2025-07-21T00:00:00"/>
    <x v="7"/>
    <n v="279"/>
    <n v="60"/>
    <n v="630"/>
    <s v="Plastic"/>
  </r>
  <r>
    <s v="JH"/>
    <s v="JH_2"/>
    <s v="Efishing"/>
    <d v="2025-07-21T00:00:00"/>
    <x v="7"/>
    <n v="283"/>
    <n v="50"/>
    <n v="530"/>
    <s v="Plastic"/>
  </r>
  <r>
    <s v="JH"/>
    <s v="JH_2"/>
    <s v="Efishing"/>
    <d v="2025-07-21T00:00:00"/>
    <x v="7"/>
    <n v="265"/>
    <n v="40"/>
    <n v="470"/>
    <s v="Plastic"/>
  </r>
  <r>
    <s v="HH"/>
    <s v="HH17"/>
    <s v="Efishing"/>
    <d v="2025-10-15T00:00:00"/>
    <x v="7"/>
    <n v="104"/>
    <n v="29"/>
    <n v="15"/>
    <s v="Plastic"/>
  </r>
  <r>
    <s v="HH"/>
    <s v="HH19"/>
    <s v="Efishing"/>
    <d v="2025-10-14T00:00:00"/>
    <x v="7"/>
    <n v="92"/>
    <n v="18"/>
    <n v="25"/>
    <s v="Plastic"/>
  </r>
  <r>
    <s v="HH"/>
    <s v="HH19"/>
    <s v="Efishing"/>
    <d v="2025-10-14T00:00:00"/>
    <x v="7"/>
    <n v="94"/>
    <n v="19"/>
    <n v="15"/>
    <s v="Plastic"/>
  </r>
  <r>
    <s v="HH"/>
    <s v="HH19"/>
    <s v="Efishing"/>
    <d v="2025-10-14T00:00:00"/>
    <x v="7"/>
    <n v="130"/>
    <n v="55"/>
    <n v="20"/>
    <s v="Plastic"/>
  </r>
  <r>
    <s v="HH"/>
    <s v="HH17"/>
    <s v="Efishing"/>
    <d v="2025-10-14T00:00:00"/>
    <x v="7"/>
    <n v="90"/>
    <n v="18"/>
    <n v="10"/>
    <s v="Plastic"/>
  </r>
  <r>
    <s v="HH"/>
    <s v="HH17"/>
    <s v="Efishing"/>
    <d v="2025-10-14T00:00:00"/>
    <x v="7"/>
    <n v="92"/>
    <n v="17"/>
    <n v="15"/>
    <s v="Plastic"/>
  </r>
  <r>
    <s v="HH"/>
    <s v="HH17"/>
    <s v="Efishing"/>
    <d v="2025-10-14T00:00:00"/>
    <x v="7"/>
    <n v="90"/>
    <n v="15"/>
    <n v="15"/>
    <s v="Plastic"/>
  </r>
  <r>
    <s v="HH"/>
    <s v="HH17"/>
    <s v="Efishing"/>
    <d v="2025-10-14T00:00:00"/>
    <x v="7"/>
    <n v="87"/>
    <n v="12"/>
    <n v="15"/>
    <s v="Plastic"/>
  </r>
  <r>
    <s v="HH"/>
    <s v="HH17"/>
    <s v="Efishing"/>
    <d v="2025-10-14T00:00:00"/>
    <x v="7"/>
    <n v="193"/>
    <n v="194"/>
    <n v="35"/>
    <s v="Plastic"/>
  </r>
  <r>
    <s v="HH"/>
    <s v="HH19"/>
    <s v="Efishing"/>
    <d v="2025-10-14T00:00:00"/>
    <x v="7"/>
    <n v="98"/>
    <n v="16"/>
    <n v="15"/>
    <s v="Plastic"/>
  </r>
  <r>
    <s v="HH"/>
    <s v="HH19"/>
    <s v="Efishing"/>
    <d v="2025-10-14T00:00:00"/>
    <x v="7"/>
    <n v="99"/>
    <n v="23"/>
    <n v="15"/>
    <s v="Plastic"/>
  </r>
  <r>
    <s v="HH"/>
    <s v="HH19"/>
    <s v="Efishing"/>
    <d v="2025-10-14T00:00:00"/>
    <x v="7"/>
    <n v="110"/>
    <n v="28"/>
    <n v="15"/>
    <s v="Plastic"/>
  </r>
  <r>
    <s v="HH"/>
    <s v="HH19"/>
    <s v="Efishing"/>
    <d v="2025-10-14T00:00:00"/>
    <x v="7"/>
    <n v="100"/>
    <n v="21"/>
    <n v="15"/>
    <s v="Plastic"/>
  </r>
  <r>
    <s v="HH"/>
    <s v="HH24"/>
    <s v="Efishing"/>
    <d v="2025-10-14T00:00:00"/>
    <x v="7"/>
    <n v="380"/>
    <n v="1610"/>
    <n v="95"/>
    <s v="Plastic"/>
  </r>
  <r>
    <s v="HH"/>
    <s v="HH26"/>
    <s v="Efishing"/>
    <d v="2025-10-14T00:00:00"/>
    <x v="7"/>
    <n v="326"/>
    <n v="1260"/>
    <n v="85"/>
    <s v="Plastic"/>
  </r>
  <r>
    <s v="HH"/>
    <s v="HH28"/>
    <s v="Efishing"/>
    <d v="2025-10-14T00:00:00"/>
    <x v="7"/>
    <n v="349"/>
    <n v="1240"/>
    <n v="75"/>
    <s v="Plastic"/>
  </r>
  <r>
    <s v="HH"/>
    <s v="HH28"/>
    <s v="Efishing"/>
    <d v="2025-10-14T00:00:00"/>
    <x v="7"/>
    <n v="220"/>
    <n v="286"/>
    <n v="40"/>
    <s v="Plastic"/>
  </r>
  <r>
    <s v="HH"/>
    <s v="HH28"/>
    <s v="Efishing"/>
    <d v="2025-10-14T00:00:00"/>
    <x v="7"/>
    <n v="229"/>
    <n v="341"/>
    <n v="45"/>
    <s v="Plastic"/>
  </r>
  <r>
    <s v="HH"/>
    <s v="HH14"/>
    <s v="Efishing"/>
    <d v="2025-10-15T00:00:00"/>
    <x v="7"/>
    <n v="119"/>
    <n v="43"/>
    <n v="20"/>
    <s v="Plastic"/>
  </r>
  <r>
    <s v="HH"/>
    <s v="HH14"/>
    <s v="Efishing"/>
    <d v="2025-10-15T00:00:00"/>
    <x v="7"/>
    <n v="185"/>
    <n v="154"/>
    <n v="35"/>
    <s v="Plastic"/>
  </r>
  <r>
    <s v="HH"/>
    <s v="HH14"/>
    <s v="Efishing"/>
    <d v="2025-10-15T00:00:00"/>
    <x v="7"/>
    <n v="162"/>
    <n v="107"/>
    <n v="25"/>
    <s v="Plastic"/>
  </r>
  <r>
    <s v="HH"/>
    <s v="HH30"/>
    <s v="Efishing"/>
    <d v="2026-12-05T00:00:00"/>
    <x v="8"/>
    <n v="321"/>
    <n v="39"/>
    <n v="590"/>
    <m/>
  </r>
  <r>
    <s v="HH"/>
    <s v="HH30"/>
    <s v="Efishing"/>
    <d v="2026-12-05T00:00:00"/>
    <x v="8"/>
    <n v="430"/>
    <n v="64"/>
    <n v="1410"/>
    <m/>
  </r>
  <r>
    <s v="HH"/>
    <s v="HH32"/>
    <s v="Efishing"/>
    <d v="2025-12-05T00:00:00"/>
    <x v="8"/>
    <n v="419"/>
    <n v="59"/>
    <n v="1370"/>
    <m/>
  </r>
  <r>
    <s v="HH"/>
    <s v="HH32"/>
    <s v="Efishing"/>
    <d v="2025-12-05T00:00:00"/>
    <x v="8"/>
    <n v="417"/>
    <n v="49"/>
    <n v="1200"/>
    <m/>
  </r>
  <r>
    <s v="HH"/>
    <s v="HH32"/>
    <s v="Efishing"/>
    <d v="2025-12-05T00:00:00"/>
    <x v="8"/>
    <n v="328"/>
    <n v="45"/>
    <n v="630"/>
    <m/>
  </r>
  <r>
    <s v="HH"/>
    <s v="HH32"/>
    <s v="Efishing"/>
    <d v="2025-12-05T00:00:00"/>
    <x v="8"/>
    <n v="398"/>
    <n v="51"/>
    <n v="1020"/>
    <m/>
  </r>
  <r>
    <s v="HH"/>
    <s v="HH30"/>
    <s v="Efishing"/>
    <d v="2026-12-05T00:00:00"/>
    <x v="8"/>
    <n v="321"/>
    <n v="39"/>
    <n v="590"/>
    <s v="Plastic"/>
  </r>
  <r>
    <s v="HH"/>
    <s v="HH30"/>
    <s v="Efishing"/>
    <d v="2026-12-05T00:00:00"/>
    <x v="8"/>
    <n v="430"/>
    <n v="64"/>
    <n v="1410"/>
    <s v="Plastic"/>
  </r>
  <r>
    <s v="HH"/>
    <s v="HH32"/>
    <s v="Efishing"/>
    <d v="2025-12-05T00:00:00"/>
    <x v="8"/>
    <n v="419"/>
    <n v="59"/>
    <n v="1370"/>
    <s v="Plastic"/>
  </r>
  <r>
    <s v="HH"/>
    <s v="HH32"/>
    <s v="Efishing"/>
    <d v="2025-12-05T00:00:00"/>
    <x v="8"/>
    <n v="417"/>
    <n v="49"/>
    <n v="1200"/>
    <s v="Plastic"/>
  </r>
  <r>
    <s v="HH"/>
    <s v="HH32"/>
    <s v="Efishing"/>
    <d v="2025-12-05T00:00:00"/>
    <x v="8"/>
    <n v="328"/>
    <n v="45"/>
    <n v="630"/>
    <s v="Plastic"/>
  </r>
  <r>
    <s v="HH"/>
    <s v="HH32"/>
    <s v="Efishing"/>
    <d v="2025-12-05T00:00:00"/>
    <x v="8"/>
    <n v="398"/>
    <n v="51"/>
    <n v="1020"/>
    <s v="Plastic"/>
  </r>
  <r>
    <s v="HH"/>
    <s v="HH34"/>
    <s v="Efishing"/>
    <d v="2025-10-15T00:00:00"/>
    <x v="8"/>
    <n v="162"/>
    <n v="66"/>
    <n v="15"/>
    <s v="Plastic"/>
  </r>
  <r>
    <s v="HH"/>
    <s v="HH34"/>
    <s v="Efishing"/>
    <d v="2025-10-15T00:00:00"/>
    <x v="8"/>
    <n v="142"/>
    <n v="43"/>
    <n v="15"/>
    <s v="Plastic"/>
  </r>
  <r>
    <s v="HH"/>
    <s v="HH17"/>
    <s v="Efishing"/>
    <d v="2025-10-14T00:00:00"/>
    <x v="8"/>
    <n v="119"/>
    <n v="23"/>
    <n v="10"/>
    <s v="Plastic"/>
  </r>
  <r>
    <s v="HH"/>
    <s v="HH45"/>
    <s v="Efishing"/>
    <d v="2025-10-14T00:00:00"/>
    <x v="8"/>
    <n v="385"/>
    <n v="840"/>
    <n v="40"/>
    <s v="Plastic"/>
  </r>
  <r>
    <s v="HH"/>
    <s v="HH10"/>
    <s v="Efishing"/>
    <d v="2025-10-15T00:00:00"/>
    <x v="8"/>
    <n v="750"/>
    <n v="370"/>
    <n v="40"/>
    <s v="Plastic"/>
  </r>
  <r>
    <s v="HH"/>
    <s v="HH11"/>
    <s v="Efishing"/>
    <d v="2025-10-15T00:00:00"/>
    <x v="8"/>
    <n v="130"/>
    <n v="33"/>
    <n v="15"/>
    <s v="Plastic"/>
  </r>
  <r>
    <s v="HH"/>
    <s v="HH11"/>
    <s v="Efishing"/>
    <d v="2025-10-15T00:00:00"/>
    <x v="8"/>
    <n v="140"/>
    <n v="42"/>
    <n v="15"/>
    <s v="Plastic"/>
  </r>
  <r>
    <s v="HH"/>
    <s v="HH32"/>
    <s v="Efishing"/>
    <d v="2025-10-15T00:00:00"/>
    <x v="8"/>
    <n v="175"/>
    <n v="97"/>
    <n v="25"/>
    <s v="Plastic"/>
  </r>
  <r>
    <s v="HH"/>
    <s v="HH42A"/>
    <s v="Efishing"/>
    <d v="2025-10-14T00:00:00"/>
    <x v="8"/>
    <n v="149"/>
    <n v="60"/>
    <n v="20"/>
    <s v="Plastic"/>
  </r>
  <r>
    <s v="HH"/>
    <s v="HH09"/>
    <s v="Efishing"/>
    <d v="2025-10-28T00:00:00"/>
    <x v="8"/>
    <n v="400"/>
    <n v="1060"/>
    <n v="55"/>
    <s v="Metal"/>
  </r>
  <r>
    <s v="HH"/>
    <s v="HH09"/>
    <s v="Efishing"/>
    <d v="2025-10-28T00:00:00"/>
    <x v="8"/>
    <n v="395"/>
    <n v="1030"/>
    <n v="63"/>
    <s v="Metal"/>
  </r>
  <r>
    <s v="HH"/>
    <s v="HH39"/>
    <s v="Efishing"/>
    <d v="2025-05-14T00:00:00"/>
    <x v="9"/>
    <n v="426"/>
    <n v="74"/>
    <n v="1700"/>
    <m/>
  </r>
  <r>
    <s v="HH"/>
    <s v="HH39"/>
    <s v="Efishing"/>
    <d v="2025-05-14T00:00:00"/>
    <x v="9"/>
    <n v="380"/>
    <n v="80"/>
    <n v="1450"/>
    <m/>
  </r>
  <r>
    <s v="HH"/>
    <s v="HH41B"/>
    <s v="Efishing"/>
    <d v="2025-05-14T00:00:00"/>
    <x v="9"/>
    <n v="408"/>
    <n v="68"/>
    <n v="1470"/>
    <s v="says 700 I think means 70"/>
  </r>
  <r>
    <s v="HH"/>
    <s v="HH43B"/>
    <s v="Efishing"/>
    <d v="2025-05-22T00:00:00"/>
    <x v="9"/>
    <n v="417"/>
    <n v="65"/>
    <n v="1500"/>
    <m/>
  </r>
  <r>
    <s v="HH"/>
    <s v="HH42B"/>
    <s v="Efishing"/>
    <d v="2025-05-22T00:00:00"/>
    <x v="9"/>
    <n v="450"/>
    <n v="70"/>
    <n v="2000"/>
    <m/>
  </r>
  <r>
    <s v="HH"/>
    <s v="HH36"/>
    <s v="Efishing"/>
    <d v="2025-05-26T00:00:00"/>
    <x v="9"/>
    <n v="414"/>
    <n v="70"/>
    <n v="1640"/>
    <m/>
  </r>
  <r>
    <s v="HH"/>
    <s v="HH36"/>
    <s v="Efishing"/>
    <d v="2025-05-26T00:00:00"/>
    <x v="9"/>
    <n v="145"/>
    <n v="20"/>
    <n v="40"/>
    <m/>
  </r>
  <r>
    <s v="HH"/>
    <s v="HH36"/>
    <s v="Efishing"/>
    <d v="2025-05-26T00:00:00"/>
    <x v="9"/>
    <n v="398"/>
    <n v="55"/>
    <n v="1400"/>
    <m/>
  </r>
  <r>
    <s v="HH"/>
    <s v="HH36"/>
    <s v="Efishing"/>
    <d v="2025-05-26T00:00:00"/>
    <x v="9"/>
    <n v="383"/>
    <n v="50"/>
    <n v="940"/>
    <m/>
  </r>
  <r>
    <s v="HH"/>
    <s v="HH42A"/>
    <s v="Efishing"/>
    <d v="2025-05-26T00:00:00"/>
    <x v="9"/>
    <n v="463"/>
    <n v="80"/>
    <n v="2140"/>
    <s v="elec fish fix"/>
  </r>
  <r>
    <s v="HH"/>
    <s v="HH44"/>
    <s v="Efishing"/>
    <d v="2025-05-14T00:00:00"/>
    <x v="9"/>
    <n v="405"/>
    <n v="76"/>
    <n v="1620"/>
    <m/>
  </r>
  <r>
    <s v="HH"/>
    <s v="HH44"/>
    <s v="Efishing"/>
    <d v="2025-05-14T00:00:00"/>
    <x v="9"/>
    <n v="424"/>
    <n v="76"/>
    <n v="1610"/>
    <m/>
  </r>
  <r>
    <s v="HH"/>
    <s v="HH37"/>
    <s v="Efishing"/>
    <d v="2025-05-22T00:00:00"/>
    <x v="9"/>
    <n v="155"/>
    <n v="15"/>
    <n v="41"/>
    <s v="JDM - Change width from 150 to 15"/>
  </r>
  <r>
    <s v="HH"/>
    <s v="HH42B"/>
    <s v="Efishing"/>
    <d v="2025-05-14T00:00:00"/>
    <x v="9"/>
    <n v="458"/>
    <n v="68"/>
    <n v="1680"/>
    <m/>
  </r>
  <r>
    <s v="HH"/>
    <s v="HH42A"/>
    <s v="Efishing"/>
    <d v="2025-05-14T00:00:00"/>
    <x v="9"/>
    <n v="470"/>
    <n v="86"/>
    <n v="2460"/>
    <m/>
  </r>
  <r>
    <s v="HH"/>
    <s v="HH36"/>
    <s v="Efishing"/>
    <d v="2025-05-22T00:00:00"/>
    <x v="9"/>
    <n v="435"/>
    <n v="70"/>
    <n v="1810"/>
    <m/>
  </r>
  <r>
    <s v="HH"/>
    <s v="HH45"/>
    <s v="Efishing"/>
    <d v="2025-05-15T00:00:00"/>
    <x v="9"/>
    <n v="185"/>
    <n v="25"/>
    <n v="91"/>
    <m/>
  </r>
  <r>
    <s v="HH"/>
    <s v="HH39"/>
    <s v="Efishing"/>
    <d v="2025-05-14T00:00:00"/>
    <x v="9"/>
    <n v="426"/>
    <n v="74"/>
    <n v="1700"/>
    <s v="Plastic"/>
  </r>
  <r>
    <s v="HH"/>
    <s v="HH39"/>
    <s v="Efishing"/>
    <d v="2025-05-14T00:00:00"/>
    <x v="9"/>
    <n v="380"/>
    <n v="80"/>
    <n v="1450"/>
    <s v="Plastic"/>
  </r>
  <r>
    <s v="HH"/>
    <s v="HH41B"/>
    <s v="Efishing"/>
    <d v="2025-05-14T00:00:00"/>
    <x v="9"/>
    <n v="408"/>
    <n v="68"/>
    <n v="1470"/>
    <s v="Plastic"/>
  </r>
  <r>
    <s v="HH"/>
    <s v="HH43B"/>
    <s v="Efishing"/>
    <d v="2025-05-22T00:00:00"/>
    <x v="9"/>
    <n v="417"/>
    <n v="65"/>
    <n v="1500"/>
    <s v="Plastic"/>
  </r>
  <r>
    <s v="HH"/>
    <s v="HH42B"/>
    <s v="Efishing"/>
    <d v="2025-05-22T00:00:00"/>
    <x v="9"/>
    <n v="450"/>
    <n v="70"/>
    <n v="2000"/>
    <s v="Plastic"/>
  </r>
  <r>
    <s v="HH"/>
    <s v="HH36"/>
    <s v="Efishing"/>
    <d v="2025-05-26T00:00:00"/>
    <x v="9"/>
    <n v="414"/>
    <n v="70"/>
    <n v="1640"/>
    <s v="Plastic"/>
  </r>
  <r>
    <s v="HH"/>
    <s v="HH36"/>
    <s v="Efishing"/>
    <d v="2025-05-26T00:00:00"/>
    <x v="9"/>
    <n v="145"/>
    <n v="20"/>
    <n v="40"/>
    <s v="Plastic"/>
  </r>
  <r>
    <s v="HH"/>
    <s v="HH36"/>
    <s v="Efishing"/>
    <d v="2025-05-26T00:00:00"/>
    <x v="9"/>
    <n v="398"/>
    <n v="55"/>
    <n v="1400"/>
    <s v="Plastic"/>
  </r>
  <r>
    <s v="HH"/>
    <s v="HH36"/>
    <s v="Efishing"/>
    <d v="2025-05-26T00:00:00"/>
    <x v="9"/>
    <n v="383"/>
    <n v="50"/>
    <n v="940"/>
    <s v="Plastic"/>
  </r>
  <r>
    <s v="HH"/>
    <s v="HH42A"/>
    <s v="Efishing"/>
    <d v="2025-05-26T00:00:00"/>
    <x v="9"/>
    <n v="463"/>
    <n v="80"/>
    <n v="2140"/>
    <s v="Plastic"/>
  </r>
  <r>
    <s v="HH"/>
    <s v="HH44"/>
    <s v="Efishing"/>
    <d v="2025-05-14T00:00:00"/>
    <x v="9"/>
    <n v="405"/>
    <n v="76"/>
    <n v="1620"/>
    <s v="Plastic"/>
  </r>
  <r>
    <s v="HH"/>
    <s v="HH44"/>
    <s v="Efishing"/>
    <d v="2025-05-14T00:00:00"/>
    <x v="9"/>
    <n v="424"/>
    <n v="76"/>
    <n v="1610"/>
    <s v="Plastic"/>
  </r>
  <r>
    <s v="HH"/>
    <s v="HH37"/>
    <s v="Efishing"/>
    <d v="2025-05-22T00:00:00"/>
    <x v="9"/>
    <n v="155"/>
    <n v="150"/>
    <n v="41"/>
    <s v="Plastic"/>
  </r>
  <r>
    <s v="HH"/>
    <s v="HH42B"/>
    <s v="Efishing"/>
    <d v="2025-05-14T00:00:00"/>
    <x v="9"/>
    <n v="458"/>
    <n v="68"/>
    <n v="1680"/>
    <s v="Plastic"/>
  </r>
  <r>
    <s v="HH"/>
    <s v="HH42A"/>
    <s v="Efishing"/>
    <d v="2025-05-14T00:00:00"/>
    <x v="9"/>
    <n v="470"/>
    <n v="86"/>
    <n v="2460"/>
    <s v="Plastic"/>
  </r>
  <r>
    <s v="HH"/>
    <s v="HH36"/>
    <s v="Efishing"/>
    <d v="2025-05-22T00:00:00"/>
    <x v="9"/>
    <n v="435"/>
    <n v="70"/>
    <n v="1810"/>
    <s v="Plastic"/>
  </r>
  <r>
    <s v="HH"/>
    <s v="HH45"/>
    <s v="Efishing"/>
    <d v="2025-05-15T00:00:00"/>
    <x v="9"/>
    <n v="185"/>
    <n v="25"/>
    <n v="91"/>
    <s v="Plastic"/>
  </r>
  <r>
    <s v="HH"/>
    <s v="HH17"/>
    <s v="Efishing"/>
    <d v="2025-10-15T00:00:00"/>
    <x v="9"/>
    <n v="149"/>
    <n v="50"/>
    <n v="20"/>
    <s v="Plastic"/>
  </r>
  <r>
    <s v="HH"/>
    <s v="HH19"/>
    <s v="Efishing"/>
    <d v="2025-10-15T00:00:00"/>
    <x v="9"/>
    <n v="106"/>
    <n v="18"/>
    <n v="10"/>
    <s v="Plastic"/>
  </r>
  <r>
    <s v="HH"/>
    <s v="HH19"/>
    <s v="Efishing"/>
    <d v="2025-10-15T00:00:00"/>
    <x v="9"/>
    <n v="123"/>
    <n v="25"/>
    <n v="10"/>
    <s v="Plastic"/>
  </r>
  <r>
    <s v="HH"/>
    <s v="HH19"/>
    <s v="Efishing"/>
    <d v="2025-10-15T00:00:00"/>
    <x v="9"/>
    <n v="102"/>
    <n v="16"/>
    <n v="10"/>
    <s v="Plastic"/>
  </r>
  <r>
    <s v="HH"/>
    <s v="HH19"/>
    <s v="Efishing"/>
    <d v="2025-10-15T00:00:00"/>
    <x v="9"/>
    <n v="112"/>
    <n v="21"/>
    <n v="10"/>
    <s v="Plastic"/>
  </r>
  <r>
    <s v="HH"/>
    <s v="HH28"/>
    <s v="Efishing"/>
    <d v="2025-10-15T00:00:00"/>
    <x v="9"/>
    <n v="201"/>
    <n v="140"/>
    <n v="25"/>
    <s v="Plastic"/>
  </r>
  <r>
    <s v="HH"/>
    <s v="HH19"/>
    <s v="Efishing"/>
    <d v="2025-10-14T00:00:00"/>
    <x v="9"/>
    <n v="438"/>
    <n v="1670"/>
    <n v="650"/>
    <s v="Plastic"/>
  </r>
  <r>
    <s v="HH"/>
    <s v="HH19"/>
    <s v="Efishing"/>
    <d v="2025-10-14T00:00:00"/>
    <x v="9"/>
    <n v="156"/>
    <n v="62"/>
    <n v="20"/>
    <s v="Plastic"/>
  </r>
  <r>
    <s v="HH"/>
    <s v="HH19"/>
    <s v="Efishing"/>
    <d v="2025-10-14T00:00:00"/>
    <x v="9"/>
    <n v="424"/>
    <n v="1530"/>
    <n v="62"/>
    <s v="Plastic"/>
  </r>
  <r>
    <s v="HH"/>
    <s v="HH19"/>
    <s v="Efishing"/>
    <d v="2025-10-14T00:00:00"/>
    <x v="9"/>
    <n v="126"/>
    <n v="28"/>
    <n v="10"/>
    <s v="Plastic"/>
  </r>
  <r>
    <s v="HH"/>
    <s v="HH19"/>
    <s v="Efishing"/>
    <d v="2025-10-14T00:00:00"/>
    <x v="9"/>
    <n v="106"/>
    <n v="25"/>
    <n v="15"/>
    <s v="Plastic"/>
  </r>
  <r>
    <s v="HH"/>
    <s v="HH19"/>
    <s v="Efishing"/>
    <d v="2025-10-14T00:00:00"/>
    <x v="9"/>
    <n v="107"/>
    <n v="17"/>
    <n v="12"/>
    <s v="Plastic"/>
  </r>
  <r>
    <s v="HH"/>
    <s v="HH19"/>
    <s v="Efishing"/>
    <d v="2025-10-14T00:00:00"/>
    <x v="9"/>
    <n v="107"/>
    <n v="27"/>
    <n v="15"/>
    <s v="Plastic"/>
  </r>
  <r>
    <s v="HH"/>
    <s v="HH19"/>
    <s v="Efishing"/>
    <d v="2025-10-14T00:00:00"/>
    <x v="9"/>
    <n v="96"/>
    <n v="13"/>
    <n v="10"/>
    <s v="Plastic"/>
  </r>
  <r>
    <s v="HH"/>
    <s v="HH19"/>
    <s v="Efishing"/>
    <d v="2025-10-14T00:00:00"/>
    <x v="9"/>
    <n v="92"/>
    <n v="10"/>
    <n v="12"/>
    <s v="Plastic"/>
  </r>
  <r>
    <s v="HH"/>
    <s v="HH19"/>
    <s v="Efishing"/>
    <d v="2025-10-14T00:00:00"/>
    <x v="9"/>
    <n v="130"/>
    <n v="34"/>
    <n v="12"/>
    <s v="Plastic"/>
  </r>
  <r>
    <s v="HH"/>
    <s v="HH19"/>
    <s v="Efishing"/>
    <d v="2025-10-14T00:00:00"/>
    <x v="9"/>
    <n v="130"/>
    <n v="34"/>
    <n v="15"/>
    <s v="Plastic"/>
  </r>
  <r>
    <s v="HH"/>
    <s v="HH19"/>
    <s v="Efishing"/>
    <d v="2025-10-14T00:00:00"/>
    <x v="9"/>
    <n v="92"/>
    <n v="10"/>
    <n v="10"/>
    <s v="Plastic"/>
  </r>
  <r>
    <s v="HH"/>
    <s v="HH19"/>
    <s v="Efishing"/>
    <d v="2025-10-14T00:00:00"/>
    <x v="9"/>
    <n v="95"/>
    <n v="10"/>
    <n v="10"/>
    <s v="Plastic"/>
  </r>
  <r>
    <s v="HH"/>
    <s v="HH17"/>
    <s v="Efishing"/>
    <d v="2025-10-14T00:00:00"/>
    <x v="9"/>
    <n v="148"/>
    <n v="52"/>
    <n v="15"/>
    <s v="Plastic"/>
  </r>
  <r>
    <s v="HH"/>
    <s v="HH17"/>
    <s v="Efishing"/>
    <d v="2025-10-14T00:00:00"/>
    <x v="9"/>
    <n v="100"/>
    <n v="13"/>
    <n v="15"/>
    <s v="Plastic"/>
  </r>
  <r>
    <s v="HH"/>
    <s v="HH17"/>
    <s v="Efishing"/>
    <d v="2025-10-14T00:00:00"/>
    <x v="9"/>
    <n v="156"/>
    <n v="57"/>
    <n v="20"/>
    <s v="Plastic"/>
  </r>
  <r>
    <s v="HH"/>
    <s v="HH19"/>
    <s v="Efishing"/>
    <d v="2025-10-14T00:00:00"/>
    <x v="9"/>
    <n v="86"/>
    <n v="8"/>
    <n v="10"/>
    <s v="Plastic"/>
  </r>
  <r>
    <s v="HH"/>
    <s v="HH19"/>
    <s v="Efishing"/>
    <d v="2025-10-14T00:00:00"/>
    <x v="9"/>
    <n v="99"/>
    <n v="13"/>
    <n v="10"/>
    <s v="Plastic"/>
  </r>
  <r>
    <s v="HH"/>
    <s v="HH6"/>
    <s v="Efishing"/>
    <d v="2025-10-16T00:00:00"/>
    <x v="9"/>
    <n v="192"/>
    <n v="109"/>
    <n v="27"/>
    <s v="Plastic"/>
  </r>
  <r>
    <s v="HH"/>
    <s v="HH45"/>
    <s v="Efishing"/>
    <d v="2025-10-14T00:00:00"/>
    <x v="9"/>
    <n v="34"/>
    <n v="900"/>
    <n v="55"/>
    <s v="Plastic"/>
  </r>
  <r>
    <s v="HH"/>
    <s v="HH45"/>
    <s v="Efishing"/>
    <d v="2025-10-14T00:00:00"/>
    <x v="9"/>
    <n v="285"/>
    <n v="419"/>
    <n v="45"/>
    <s v="Plastic"/>
  </r>
  <r>
    <s v="HH"/>
    <s v="HH26"/>
    <s v="Efishing"/>
    <d v="2025-10-14T00:00:00"/>
    <x v="9"/>
    <n v="184"/>
    <n v="94"/>
    <n v="20"/>
    <s v="Plastic"/>
  </r>
  <r>
    <s v="HH"/>
    <s v="HH26"/>
    <s v="Efishing"/>
    <d v="2025-10-14T00:00:00"/>
    <x v="9"/>
    <n v="470"/>
    <n v="2480"/>
    <n v="90"/>
    <s v="Plastic"/>
  </r>
  <r>
    <s v="HH"/>
    <s v="HH26"/>
    <s v="Efishing"/>
    <d v="2025-10-14T00:00:00"/>
    <x v="9"/>
    <n v="340"/>
    <n v="1250"/>
    <n v="65"/>
    <s v="Plastic"/>
  </r>
  <r>
    <s v="HH"/>
    <s v="HH42A"/>
    <s v="Efishing"/>
    <d v="2025-10-16T00:00:00"/>
    <x v="9"/>
    <n v="465"/>
    <n v="2430"/>
    <n v="80"/>
    <s v="Plastic"/>
  </r>
  <r>
    <s v="HH"/>
    <s v="HH42A"/>
    <s v="Efishing"/>
    <d v="2025-10-14T00:00:00"/>
    <x v="9"/>
    <n v="235"/>
    <n v="225"/>
    <n v="40"/>
    <s v="Plastic"/>
  </r>
  <r>
    <s v="HH"/>
    <s v="HH45"/>
    <s v="Efishing"/>
    <d v="2025-10-16T00:00:00"/>
    <x v="9"/>
    <n v="223"/>
    <n v="137"/>
    <n v="30"/>
    <s v="Plastic"/>
  </r>
  <r>
    <s v="HH"/>
    <s v="HH45"/>
    <s v="Efishing"/>
    <d v="2025-10-16T00:00:00"/>
    <x v="9"/>
    <n v="283"/>
    <n v="470"/>
    <n v="40"/>
    <s v="Plastic"/>
  </r>
  <r>
    <s v="HH"/>
    <s v="HH45"/>
    <s v="Efishing"/>
    <d v="2025-10-16T00:00:00"/>
    <x v="9"/>
    <n v="300"/>
    <n v="550"/>
    <n v="40"/>
    <s v="Plastic"/>
  </r>
  <r>
    <s v="HH"/>
    <s v="HH45"/>
    <s v="Efishing"/>
    <d v="2025-10-16T00:00:00"/>
    <x v="9"/>
    <n v="262"/>
    <n v="380"/>
    <n v="40"/>
    <s v="Plastic"/>
  </r>
  <r>
    <s v="HH"/>
    <s v="HH43B"/>
    <s v="Efishing"/>
    <d v="2025-10-16T00:00:00"/>
    <x v="9"/>
    <n v="240"/>
    <n v="219"/>
    <n v="30"/>
    <s v="Plastic"/>
  </r>
  <r>
    <s v="HH"/>
    <s v="HH39"/>
    <s v="Efishing"/>
    <d v="2025-10-16T00:00:00"/>
    <x v="9"/>
    <n v="347"/>
    <n v="990"/>
    <n v="50"/>
    <s v="Plastic"/>
  </r>
  <r>
    <s v="HH"/>
    <s v="HH38"/>
    <s v="Efishing"/>
    <d v="2025-10-21T00:00:00"/>
    <x v="9"/>
    <n v="264"/>
    <n v="300"/>
    <n v="35"/>
    <s v="Plastic"/>
  </r>
  <r>
    <s v="HH"/>
    <s v="HH36"/>
    <s v="Efishing"/>
    <d v="2025-10-21T00:00:00"/>
    <x v="9"/>
    <n v="494"/>
    <n v="2390"/>
    <n v="80"/>
    <s v="Plastic"/>
  </r>
  <r>
    <s v="HH"/>
    <s v="HH47"/>
    <s v="Efishing"/>
    <d v="2025-10-14T00:00:00"/>
    <x v="10"/>
    <n v="100"/>
    <n v="10"/>
    <n v="10"/>
    <s v="Plastic"/>
  </r>
  <r>
    <s v="HH"/>
    <s v="HH48"/>
    <s v="Efishing"/>
    <d v="2025-10-14T00:00:00"/>
    <x v="10"/>
    <n v="94"/>
    <n v="7"/>
    <n v="10"/>
    <s v="Plastic"/>
  </r>
  <r>
    <s v="HH"/>
    <s v="HH38"/>
    <s v="Efishing"/>
    <d v="2025-05-26T00:00:00"/>
    <x v="11"/>
    <n v="620"/>
    <n v="63"/>
    <n v="1940"/>
    <m/>
  </r>
  <r>
    <s v="HH"/>
    <s v="HH34"/>
    <s v="Efishing"/>
    <d v="2025-05-22T00:00:00"/>
    <x v="11"/>
    <n v="943"/>
    <n v="90"/>
    <n v="5950"/>
    <m/>
  </r>
  <r>
    <s v="HH"/>
    <s v="HH38"/>
    <s v="Efishing"/>
    <d v="2025-05-26T00:00:00"/>
    <x v="11"/>
    <n v="620"/>
    <n v="63"/>
    <n v="1940"/>
    <s v="Plastic"/>
  </r>
  <r>
    <s v="HH"/>
    <s v="HH34"/>
    <s v="Efishing"/>
    <d v="2025-05-22T00:00:00"/>
    <x v="11"/>
    <n v="943"/>
    <n v="90"/>
    <n v="5950"/>
    <s v="Plastic"/>
  </r>
  <r>
    <s v="HH"/>
    <s v="HH17"/>
    <s v="Efishing"/>
    <d v="2025-10-14T00:00:00"/>
    <x v="12"/>
    <n v="51"/>
    <n v="4"/>
    <n v="4"/>
    <s v="Plastic"/>
  </r>
  <r>
    <s v="HH"/>
    <s v="HH34"/>
    <s v="Efishing"/>
    <d v="2025-10-15T00:00:00"/>
    <x v="13"/>
    <n v="122"/>
    <n v="39"/>
    <n v="15"/>
    <s v="Plastic"/>
  </r>
  <r>
    <s v="HH"/>
    <s v="HH34"/>
    <s v="Efishing"/>
    <d v="2025-10-15T00:00:00"/>
    <x v="13"/>
    <n v="228"/>
    <n v="250"/>
    <n v="35"/>
    <s v="Plastic"/>
  </r>
  <r>
    <s v="HH"/>
    <s v="HH34"/>
    <s v="Efishing"/>
    <d v="2025-10-15T00:00:00"/>
    <x v="13"/>
    <n v="170"/>
    <n v="93"/>
    <n v="20"/>
    <s v="Plastic"/>
  </r>
  <r>
    <s v="HH"/>
    <s v="HH34"/>
    <s v="Efishing"/>
    <d v="2025-10-15T00:00:00"/>
    <x v="13"/>
    <n v="182"/>
    <n v="118"/>
    <n v="25"/>
    <s v="Plastic"/>
  </r>
  <r>
    <s v="HH"/>
    <s v="HH34"/>
    <s v="Efishing"/>
    <d v="2025-10-15T00:00:00"/>
    <x v="13"/>
    <n v="220"/>
    <n v="230"/>
    <n v="35"/>
    <s v="Plastic"/>
  </r>
  <r>
    <s v="HH"/>
    <s v="HH34"/>
    <s v="Efishing"/>
    <d v="2025-10-15T00:00:00"/>
    <x v="13"/>
    <n v="174"/>
    <n v="110"/>
    <n v="20"/>
    <s v="Plastic"/>
  </r>
  <r>
    <s v="HH"/>
    <s v="HH36"/>
    <s v="Efishing"/>
    <d v="2025-10-15T00:00:00"/>
    <x v="13"/>
    <n v="239"/>
    <n v="340"/>
    <n v="40"/>
    <s v="Plastic"/>
  </r>
  <r>
    <s v="HH"/>
    <s v="HH36"/>
    <s v="Efishing"/>
    <d v="2025-10-15T00:00:00"/>
    <x v="13"/>
    <n v="213"/>
    <n v="201"/>
    <n v="30"/>
    <s v="Plastic"/>
  </r>
  <r>
    <s v="HH"/>
    <s v="HH36"/>
    <s v="Efishing"/>
    <d v="2025-10-15T00:00:00"/>
    <x v="13"/>
    <n v="228"/>
    <n v="297"/>
    <n v="30"/>
    <s v="Plastic"/>
  </r>
  <r>
    <s v="HH"/>
    <s v="HH36"/>
    <s v="Efishing"/>
    <d v="2025-10-15T00:00:00"/>
    <x v="13"/>
    <n v="173"/>
    <n v="115"/>
    <n v="25"/>
    <s v="Plastic"/>
  </r>
  <r>
    <s v="HH"/>
    <s v="HH36"/>
    <s v="Efishing"/>
    <d v="2025-10-15T00:00:00"/>
    <x v="13"/>
    <n v="218"/>
    <n v="235"/>
    <n v="30"/>
    <s v="Plastic"/>
  </r>
  <r>
    <s v="HH"/>
    <s v="HH45"/>
    <s v="Efishing"/>
    <d v="2025-10-16T00:00:00"/>
    <x v="13"/>
    <n v="126"/>
    <n v="193"/>
    <n v="25"/>
    <s v="Plastic"/>
  </r>
  <r>
    <s v="HH"/>
    <s v="HH45"/>
    <s v="Efishing"/>
    <d v="2025-10-16T00:00:00"/>
    <x v="13"/>
    <n v="124"/>
    <n v="186"/>
    <n v="30"/>
    <s v="Plastic"/>
  </r>
  <r>
    <s v="HH"/>
    <s v="HH45"/>
    <s v="Efishing"/>
    <d v="2025-10-16T00:00:00"/>
    <x v="13"/>
    <n v="254"/>
    <n v="319"/>
    <n v="35"/>
    <s v="Plastic"/>
  </r>
  <r>
    <s v="HH"/>
    <s v="HH43B"/>
    <s v="Efishing"/>
    <d v="2025-10-16T00:00:00"/>
    <x v="13"/>
    <n v="196"/>
    <n v="153"/>
    <n v="25"/>
    <s v="Plastic"/>
  </r>
  <r>
    <s v="HH"/>
    <s v="HH43B"/>
    <s v="Efishing"/>
    <d v="2025-10-16T00:00:00"/>
    <x v="13"/>
    <n v="95"/>
    <n v="14"/>
    <n v="15"/>
    <s v="Plastic"/>
  </r>
  <r>
    <s v="HH"/>
    <s v="HH42B"/>
    <s v="Efishing"/>
    <d v="2025-10-14T00:00:00"/>
    <x v="13"/>
    <n v="142"/>
    <n v="61"/>
    <n v="25"/>
    <s v="Plastic"/>
  </r>
  <r>
    <s v="HH"/>
    <s v="HH42B"/>
    <s v="Efishing"/>
    <d v="2025-05-14T00:00:00"/>
    <x v="14"/>
    <n v="104"/>
    <n v="18"/>
    <n v="15"/>
    <m/>
  </r>
  <r>
    <s v="HH"/>
    <s v="HH42B"/>
    <s v="Efishing"/>
    <d v="2025-05-14T00:00:00"/>
    <x v="14"/>
    <n v="104"/>
    <n v="18"/>
    <n v="15"/>
    <s v="Plastic"/>
  </r>
  <r>
    <s v="HH"/>
    <s v="HH19"/>
    <s v="Efishing"/>
    <d v="2025-10-14T00:00:00"/>
    <x v="14"/>
    <n v="241"/>
    <n v="312"/>
    <n v="33"/>
    <s v="Plastic"/>
  </r>
  <r>
    <s v="HH"/>
    <s v="HH10"/>
    <s v="Efishing"/>
    <d v="2025-10-15T00:00:00"/>
    <x v="14"/>
    <n v="200"/>
    <n v="168"/>
    <n v="25"/>
    <s v="Plastic"/>
  </r>
  <r>
    <s v="HH"/>
    <s v="HH10"/>
    <s v="Efishing"/>
    <d v="2025-10-15T00:00:00"/>
    <x v="14"/>
    <n v="200"/>
    <n v="250"/>
    <n v="32"/>
    <s v="Plastic"/>
  </r>
  <r>
    <s v="HH"/>
    <s v="HH10"/>
    <s v="Efishing"/>
    <d v="2025-10-15T00:00:00"/>
    <x v="14"/>
    <n v="192"/>
    <n v="29"/>
    <n v="21"/>
    <s v="Plastic"/>
  </r>
  <r>
    <s v="HH"/>
    <s v="HH10"/>
    <s v="Efishing"/>
    <d v="2025-10-15T00:00:00"/>
    <x v="14"/>
    <n v="180"/>
    <n v="113"/>
    <n v="21"/>
    <s v="Plastic"/>
  </r>
  <r>
    <s v="HH"/>
    <s v="HH06"/>
    <s v="Efishing"/>
    <d v="2025-10-28T00:00:00"/>
    <x v="14"/>
    <n v="241"/>
    <n v="336"/>
    <n v="30"/>
    <s v="Metal"/>
  </r>
  <r>
    <s v="HH"/>
    <s v="HH17"/>
    <s v="Efishing"/>
    <d v="2025-10-14T00:00:00"/>
    <x v="15"/>
    <n v="106"/>
    <n v="18"/>
    <n v="15"/>
    <s v="Plastic"/>
  </r>
  <r>
    <s v="HH"/>
    <s v="HH17"/>
    <s v="Efishing"/>
    <d v="2025-10-14T00:00:00"/>
    <x v="15"/>
    <n v="83"/>
    <n v="10"/>
    <n v="15"/>
    <s v="Plastic"/>
  </r>
  <r>
    <s v="HH"/>
    <s v="HH17"/>
    <s v="Efishing"/>
    <d v="2025-10-14T00:00:00"/>
    <x v="15"/>
    <n v="92"/>
    <n v="14"/>
    <n v="15"/>
    <s v="Plastic"/>
  </r>
  <r>
    <s v="HH"/>
    <s v="HH17"/>
    <s v="Efishing"/>
    <d v="2025-10-14T00:00:00"/>
    <x v="15"/>
    <n v="78"/>
    <n v="6"/>
    <n v="10"/>
    <s v="Plastic"/>
  </r>
  <r>
    <s v="HH"/>
    <s v="HH19"/>
    <s v="Efishing"/>
    <d v="2025-10-14T00:00:00"/>
    <x v="15"/>
    <n v="80"/>
    <n v="8"/>
    <n v="7"/>
    <s v="Plastic"/>
  </r>
  <r>
    <s v="HH"/>
    <s v="HH22"/>
    <s v="Efishing"/>
    <d v="2025-10-14T00:00:00"/>
    <x v="15"/>
    <n v="126"/>
    <n v="22"/>
    <n v="20"/>
    <s v="Plastic"/>
  </r>
  <r>
    <s v="HH"/>
    <s v="HH42A"/>
    <s v="Efishing"/>
    <d v="2025-10-14T00:00:00"/>
    <x v="15"/>
    <n v="107"/>
    <n v="17"/>
    <n v="15"/>
    <s v="Plastic"/>
  </r>
  <r>
    <s v="HH"/>
    <s v="HH44"/>
    <s v="Efishing"/>
    <d v="2025-05-14T00:00:00"/>
    <x v="16"/>
    <n v="155"/>
    <n v="22"/>
    <n v="40"/>
    <m/>
  </r>
  <r>
    <s v="HH"/>
    <s v="HH44"/>
    <s v="Efishing"/>
    <d v="2025-05-14T00:00:00"/>
    <x v="16"/>
    <n v="155"/>
    <n v="22"/>
    <n v="40"/>
    <s v="Plastic"/>
  </r>
  <r>
    <s v="HH"/>
    <s v="HH32"/>
    <s v="Efishing"/>
    <d v="2025-10-21T00:00:00"/>
    <x v="16"/>
    <n v="690"/>
    <n v="3920"/>
    <n v="75"/>
    <s v="Plastic"/>
  </r>
  <r>
    <s v="HH"/>
    <s v="HH16"/>
    <s v="Efishing"/>
    <d v="2026-12-05T00:00:00"/>
    <x v="17"/>
    <n v="596"/>
    <n v="83"/>
    <n v="510"/>
    <m/>
  </r>
  <r>
    <s v="HH"/>
    <s v="HH43"/>
    <s v="Efishing"/>
    <d v="2025-05-14T00:00:00"/>
    <x v="17"/>
    <n v="605"/>
    <n v="85"/>
    <n v="2790"/>
    <m/>
  </r>
  <r>
    <s v="HH"/>
    <s v="HH9"/>
    <s v="Efishing"/>
    <d v="2025-05-14T00:00:00"/>
    <x v="17"/>
    <n v="671"/>
    <m/>
    <n v="3250"/>
    <m/>
  </r>
  <r>
    <s v="HH"/>
    <s v="HH9"/>
    <s v="Efishing"/>
    <d v="2025-05-14T00:00:00"/>
    <x v="17"/>
    <n v="710"/>
    <m/>
    <n v="4400"/>
    <m/>
  </r>
  <r>
    <s v="HH"/>
    <s v="HH42B"/>
    <s v="Efishing"/>
    <d v="2025-05-14T00:00:00"/>
    <x v="17"/>
    <n v="602"/>
    <n v="79"/>
    <n v="2670"/>
    <m/>
  </r>
  <r>
    <s v="HH"/>
    <s v="HH42A"/>
    <s v="Efishing"/>
    <d v="2025-05-14T00:00:00"/>
    <x v="17"/>
    <n v="260"/>
    <n v="39"/>
    <n v="260"/>
    <m/>
  </r>
  <r>
    <s v="HH"/>
    <s v="HH45"/>
    <s v="Efishing"/>
    <d v="2025-05-15T00:00:00"/>
    <x v="17"/>
    <n v="579"/>
    <n v="98"/>
    <n v="2750"/>
    <m/>
  </r>
  <r>
    <s v="HH"/>
    <s v="HH16"/>
    <s v="Efishing"/>
    <d v="2026-12-05T00:00:00"/>
    <x v="17"/>
    <n v="596"/>
    <n v="83"/>
    <n v="510"/>
    <s v="Plastic"/>
  </r>
  <r>
    <s v="HH"/>
    <s v="HH43"/>
    <s v="Efishing"/>
    <d v="2025-05-14T00:00:00"/>
    <x v="17"/>
    <n v="605"/>
    <n v="85"/>
    <n v="2790"/>
    <s v="Plastic"/>
  </r>
  <r>
    <s v="HH"/>
    <s v="HH9"/>
    <s v="Efishing"/>
    <d v="2025-05-14T00:00:00"/>
    <x v="17"/>
    <n v="671"/>
    <m/>
    <n v="3250"/>
    <s v="Plastic"/>
  </r>
  <r>
    <s v="HH"/>
    <s v="HH9"/>
    <s v="Efishing"/>
    <d v="2025-05-14T00:00:00"/>
    <x v="17"/>
    <n v="710"/>
    <m/>
    <n v="4400"/>
    <s v="Plastic"/>
  </r>
  <r>
    <s v="HH"/>
    <s v="HH42B"/>
    <s v="Efishing"/>
    <d v="2025-05-14T00:00:00"/>
    <x v="17"/>
    <n v="602"/>
    <n v="79"/>
    <n v="2670"/>
    <s v="Plastic"/>
  </r>
  <r>
    <s v="HH"/>
    <s v="HH42A"/>
    <s v="Efishing"/>
    <d v="2025-05-14T00:00:00"/>
    <x v="17"/>
    <n v="260"/>
    <n v="39"/>
    <n v="260"/>
    <s v="Plastic"/>
  </r>
  <r>
    <s v="HH"/>
    <s v="HH45"/>
    <s v="Efishing"/>
    <d v="2025-05-15T00:00:00"/>
    <x v="17"/>
    <n v="579"/>
    <n v="98"/>
    <n v="2750"/>
    <s v="Plastic"/>
  </r>
  <r>
    <s v="HH"/>
    <s v="HH45"/>
    <s v="Efishing"/>
    <d v="2025-10-14T00:00:00"/>
    <x v="17"/>
    <n v="584"/>
    <n v="2630"/>
    <n v="90"/>
    <s v="Plastic"/>
  </r>
  <r>
    <s v="HH"/>
    <s v="HH42A"/>
    <s v="Efishing"/>
    <d v="2025-10-16T00:00:00"/>
    <x v="17"/>
    <n v="560"/>
    <n v="2170"/>
    <n v="80"/>
    <s v="Plastic"/>
  </r>
  <r>
    <s v="HH"/>
    <s v="HH36"/>
    <s v="Efishing"/>
    <d v="2025-10-15T00:00:00"/>
    <x v="17"/>
    <n v="555"/>
    <n v="2120"/>
    <n v="75"/>
    <s v="Plastic"/>
  </r>
  <r>
    <s v="HH"/>
    <s v="HH45"/>
    <s v="Efishing"/>
    <d v="2025-10-16T00:00:00"/>
    <x v="17"/>
    <n v="615"/>
    <n v="2740"/>
    <n v="85"/>
    <s v="Plastic"/>
  </r>
  <r>
    <s v="HH"/>
    <s v="HH42B"/>
    <s v="Efishing"/>
    <d v="2025-10-14T00:00:00"/>
    <x v="17"/>
    <n v="610"/>
    <n v="3222"/>
    <n v="100"/>
    <s v="Plastic"/>
  </r>
  <r>
    <s v="HH"/>
    <s v="HH34"/>
    <s v="Efishing"/>
    <d v="2025-10-15T00:00:00"/>
    <x v="18"/>
    <n v="164"/>
    <n v="66"/>
    <n v="20"/>
    <s v="Plastic"/>
  </r>
  <r>
    <s v="HH"/>
    <s v="HH34"/>
    <s v="Efishing"/>
    <d v="2025-10-15T00:00:00"/>
    <x v="18"/>
    <n v="226"/>
    <n v="193"/>
    <n v="30"/>
    <s v="Plastic"/>
  </r>
  <r>
    <s v="HH"/>
    <s v="HH19"/>
    <s v="Efishing"/>
    <d v="2025-10-14T00:00:00"/>
    <x v="18"/>
    <n v="159"/>
    <n v="60"/>
    <n v="20"/>
    <s v="Plastic"/>
  </r>
  <r>
    <s v="HH"/>
    <s v="HH19"/>
    <s v="Efishing"/>
    <d v="2025-10-14T00:00:00"/>
    <x v="18"/>
    <n v="120"/>
    <n v="215"/>
    <n v="34"/>
    <s v="Plastic"/>
  </r>
  <r>
    <s v="HH"/>
    <s v="HH19"/>
    <s v="Efishing"/>
    <d v="2025-10-14T00:00:00"/>
    <x v="18"/>
    <n v="192"/>
    <n v="130"/>
    <n v="27"/>
    <s v="Plastic"/>
  </r>
  <r>
    <s v="HH"/>
    <s v="HH19"/>
    <s v="Efishing"/>
    <d v="2025-10-14T00:00:00"/>
    <x v="18"/>
    <n v="175"/>
    <n v="83"/>
    <n v="20"/>
    <s v="Plastic"/>
  </r>
  <r>
    <s v="HH"/>
    <s v="HH19"/>
    <s v="Efishing"/>
    <d v="2025-10-14T00:00:00"/>
    <x v="18"/>
    <n v="165"/>
    <n v="75"/>
    <n v="20"/>
    <s v="Plastic"/>
  </r>
  <r>
    <s v="HH"/>
    <s v="HH19"/>
    <s v="Efishing"/>
    <d v="2025-10-14T00:00:00"/>
    <x v="18"/>
    <n v="220"/>
    <n v="221"/>
    <n v="35"/>
    <s v="Plastic"/>
  </r>
  <r>
    <s v="HH"/>
    <s v="HH19"/>
    <s v="Efishing"/>
    <d v="2025-10-14T00:00:00"/>
    <x v="18"/>
    <n v="179"/>
    <n v="104"/>
    <n v="30"/>
    <s v="Plastic"/>
  </r>
  <r>
    <s v="HH"/>
    <s v="HH19"/>
    <s v="Efishing"/>
    <d v="2025-10-14T00:00:00"/>
    <x v="18"/>
    <n v="190"/>
    <n v="133"/>
    <n v="25"/>
    <s v="Plastic"/>
  </r>
  <r>
    <s v="HH"/>
    <s v="HH19"/>
    <s v="Efishing"/>
    <d v="2025-10-14T00:00:00"/>
    <x v="18"/>
    <n v="170"/>
    <n v="83"/>
    <n v="20"/>
    <s v="Plastic"/>
  </r>
  <r>
    <s v="HH"/>
    <s v="HH19"/>
    <s v="Efishing"/>
    <d v="2025-10-14T00:00:00"/>
    <x v="18"/>
    <n v="160"/>
    <n v="71"/>
    <n v="20"/>
    <s v="Plastic"/>
  </r>
  <r>
    <s v="HH"/>
    <s v="HH19"/>
    <s v="Efishing"/>
    <d v="2025-10-14T00:00:00"/>
    <x v="18"/>
    <n v="186"/>
    <n v="63"/>
    <n v="25"/>
    <s v="Plastic"/>
  </r>
  <r>
    <s v="HH"/>
    <s v="HH19"/>
    <s v="Efishing"/>
    <d v="2025-10-14T00:00:00"/>
    <x v="18"/>
    <n v="164"/>
    <n v="68"/>
    <n v="20"/>
    <s v="Plastic"/>
  </r>
  <r>
    <s v="HH"/>
    <s v="HH19"/>
    <s v="Efishing"/>
    <d v="2025-10-14T00:00:00"/>
    <x v="18"/>
    <n v="164"/>
    <n v="68"/>
    <n v="20"/>
    <s v="Plastic"/>
  </r>
  <r>
    <s v="HH"/>
    <s v="HH19"/>
    <s v="Efishing"/>
    <d v="2025-10-14T00:00:00"/>
    <x v="18"/>
    <n v="144"/>
    <n v="43"/>
    <n v="20"/>
    <s v="Plastic"/>
  </r>
  <r>
    <s v="HH"/>
    <s v="HH17"/>
    <s v="Efishing"/>
    <d v="2025-10-14T00:00:00"/>
    <x v="18"/>
    <n v="137"/>
    <n v="38"/>
    <n v="20"/>
    <s v="Plastic"/>
  </r>
  <r>
    <s v="HH"/>
    <s v="HH17"/>
    <s v="Efishing"/>
    <d v="2025-10-14T00:00:00"/>
    <x v="18"/>
    <n v="192"/>
    <n v="139"/>
    <n v="15"/>
    <s v="Plastic"/>
  </r>
  <r>
    <s v="HH"/>
    <s v="HH17"/>
    <s v="Efishing"/>
    <d v="2025-10-14T00:00:00"/>
    <x v="18"/>
    <n v="192"/>
    <n v="139"/>
    <n v="15"/>
    <s v="Plastic"/>
  </r>
  <r>
    <s v="HH"/>
    <s v="HH17"/>
    <s v="Efishing"/>
    <d v="2025-10-14T00:00:00"/>
    <x v="18"/>
    <n v="172"/>
    <n v="90"/>
    <n v="30"/>
    <s v="Plastic"/>
  </r>
  <r>
    <s v="HH"/>
    <s v="HH17"/>
    <s v="Efishing"/>
    <d v="2025-10-14T00:00:00"/>
    <x v="18"/>
    <n v="182"/>
    <n v="97"/>
    <n v="20"/>
    <s v="Plastic"/>
  </r>
  <r>
    <s v="HH"/>
    <s v="HH17"/>
    <s v="Efishing"/>
    <d v="2025-10-14T00:00:00"/>
    <x v="18"/>
    <n v="168"/>
    <n v="75"/>
    <n v="25"/>
    <s v="Plastic"/>
  </r>
  <r>
    <s v="HH"/>
    <s v="HH17"/>
    <s v="Efishing"/>
    <d v="2025-10-14T00:00:00"/>
    <x v="18"/>
    <n v="185"/>
    <n v="118"/>
    <n v="30"/>
    <s v="Plastic"/>
  </r>
  <r>
    <s v="HH"/>
    <s v="HH17"/>
    <s v="Efishing"/>
    <d v="2025-10-14T00:00:00"/>
    <x v="18"/>
    <n v="183"/>
    <n v="108"/>
    <n v="25"/>
    <s v="Plastic"/>
  </r>
  <r>
    <s v="HH"/>
    <s v="HH17"/>
    <s v="Efishing"/>
    <d v="2025-10-14T00:00:00"/>
    <x v="18"/>
    <n v="160"/>
    <n v="63"/>
    <n v="30"/>
    <s v="Plastic"/>
  </r>
  <r>
    <s v="HH"/>
    <s v="HH17"/>
    <s v="Efishing"/>
    <d v="2025-10-14T00:00:00"/>
    <x v="18"/>
    <n v="152"/>
    <n v="59"/>
    <n v="20"/>
    <s v="Plastic"/>
  </r>
  <r>
    <s v="HH"/>
    <s v="HH18"/>
    <s v="Efishing"/>
    <d v="2025-10-14T00:00:00"/>
    <x v="18"/>
    <n v="208"/>
    <n v="182"/>
    <n v="30"/>
    <s v="Plastic"/>
  </r>
  <r>
    <s v="HH"/>
    <s v="HH18"/>
    <s v="Efishing"/>
    <d v="2025-10-14T00:00:00"/>
    <x v="18"/>
    <n v="217"/>
    <n v="191"/>
    <n v="30"/>
    <s v="Plastic"/>
  </r>
  <r>
    <s v="HH"/>
    <s v="HH18"/>
    <s v="Efishing"/>
    <d v="2025-10-14T00:00:00"/>
    <x v="18"/>
    <n v="156"/>
    <n v="70"/>
    <n v="20"/>
    <s v="Plastic"/>
  </r>
  <r>
    <s v="HH"/>
    <s v="HH22"/>
    <s v="Efishing"/>
    <d v="2025-10-14T00:00:00"/>
    <x v="18"/>
    <n v="163"/>
    <n v="57"/>
    <n v="20"/>
    <s v="Plastic"/>
  </r>
  <r>
    <s v="HH"/>
    <s v="HH22"/>
    <s v="Efishing"/>
    <d v="2025-10-14T00:00:00"/>
    <x v="18"/>
    <n v="156"/>
    <n v="55"/>
    <n v="20"/>
    <s v="Plastic"/>
  </r>
  <r>
    <s v="HH"/>
    <s v="HH22"/>
    <s v="Efishing"/>
    <d v="2025-10-14T00:00:00"/>
    <x v="18"/>
    <n v="184"/>
    <n v="115"/>
    <n v="25"/>
    <s v="Plastic"/>
  </r>
  <r>
    <s v="HH"/>
    <s v="HH22"/>
    <s v="Efishing"/>
    <d v="2025-10-14T00:00:00"/>
    <x v="18"/>
    <n v="154"/>
    <n v="63"/>
    <n v="20"/>
    <s v="Plastic"/>
  </r>
  <r>
    <s v="HH"/>
    <s v="HH06"/>
    <s v="Efishing"/>
    <d v="2025-10-28T00:00:00"/>
    <x v="18"/>
    <n v="180"/>
    <n v="100"/>
    <n v="26"/>
    <s v="Metal"/>
  </r>
  <r>
    <s v="HH"/>
    <s v="HH06"/>
    <s v="Efishing"/>
    <d v="2025-10-28T00:00:00"/>
    <x v="18"/>
    <n v="183"/>
    <n v="110"/>
    <n v="27"/>
    <s v="Metal"/>
  </r>
  <r>
    <s v="HH"/>
    <s v="HH02"/>
    <s v="Efishing"/>
    <d v="2025-10-28T00:00:00"/>
    <x v="18"/>
    <n v="131"/>
    <n v="35"/>
    <n v="15"/>
    <s v="Metal"/>
  </r>
  <r>
    <s v="HH"/>
    <s v="HH02"/>
    <s v="Efishing"/>
    <d v="2025-10-28T00:00:00"/>
    <x v="18"/>
    <n v="164"/>
    <n v="63"/>
    <n v="20"/>
    <s v="Metal"/>
  </r>
  <r>
    <s v="HH"/>
    <s v="HH02"/>
    <s v="Efishing"/>
    <d v="2025-10-28T00:00:00"/>
    <x v="18"/>
    <n v="186"/>
    <n v="110"/>
    <n v="26"/>
    <s v="Metal"/>
  </r>
  <r>
    <s v="HH"/>
    <s v="HH02"/>
    <s v="Efishing"/>
    <d v="2025-10-28T00:00:00"/>
    <x v="18"/>
    <n v="143"/>
    <n v="38"/>
    <n v="19"/>
    <s v="Metal"/>
  </r>
  <r>
    <s v="HH"/>
    <s v="HH41B"/>
    <s v="Efishing"/>
    <d v="2025-05-14T00:00:00"/>
    <x v="19"/>
    <n v="493"/>
    <n v="58"/>
    <n v="1470"/>
    <m/>
  </r>
  <r>
    <s v="HH"/>
    <s v="HH44"/>
    <s v="Efishing"/>
    <d v="2025-05-14T00:00:00"/>
    <x v="19"/>
    <n v="532"/>
    <n v="64"/>
    <n v="1910"/>
    <m/>
  </r>
  <r>
    <s v="HH"/>
    <s v="HH32"/>
    <s v="Efishing"/>
    <d v="2025-12-05T00:00:00"/>
    <x v="19"/>
    <n v="222"/>
    <n v="34"/>
    <n v="220"/>
    <m/>
  </r>
  <r>
    <s v="HH"/>
    <s v="HH42A"/>
    <s v="Efishing"/>
    <d v="2025-05-14T00:00:00"/>
    <x v="19"/>
    <n v="402"/>
    <n v="59"/>
    <n v="930"/>
    <m/>
  </r>
  <r>
    <s v="HH"/>
    <s v="HH42A"/>
    <s v="Efishing"/>
    <d v="2025-05-14T00:00:00"/>
    <x v="19"/>
    <n v="436"/>
    <n v="67"/>
    <n v="1090"/>
    <m/>
  </r>
  <r>
    <s v="HH"/>
    <s v="HH37"/>
    <s v="Efishing"/>
    <d v="2025-05-14T00:00:00"/>
    <x v="19"/>
    <n v="495"/>
    <n v="73"/>
    <n v="1740"/>
    <m/>
  </r>
  <r>
    <s v="HH"/>
    <s v="HH41B"/>
    <s v="Efishing"/>
    <d v="2025-05-14T00:00:00"/>
    <x v="19"/>
    <n v="493"/>
    <n v="58"/>
    <n v="1470"/>
    <s v="Plastic"/>
  </r>
  <r>
    <s v="HH"/>
    <s v="HH44"/>
    <s v="Efishing"/>
    <d v="2025-05-14T00:00:00"/>
    <x v="19"/>
    <n v="532"/>
    <n v="64"/>
    <n v="1910"/>
    <s v="Plastic"/>
  </r>
  <r>
    <s v="HH"/>
    <s v="HH32"/>
    <s v="Efishing"/>
    <d v="2025-12-05T00:00:00"/>
    <x v="19"/>
    <n v="222"/>
    <n v="34"/>
    <n v="220"/>
    <s v="Plastic"/>
  </r>
  <r>
    <s v="HH"/>
    <s v="HH42A"/>
    <s v="Efishing"/>
    <d v="2025-05-14T00:00:00"/>
    <x v="19"/>
    <n v="402"/>
    <n v="59"/>
    <n v="930"/>
    <s v="Plastic"/>
  </r>
  <r>
    <s v="HH"/>
    <s v="HH42A"/>
    <s v="Efishing"/>
    <d v="2025-05-14T00:00:00"/>
    <x v="19"/>
    <n v="436"/>
    <n v="67"/>
    <n v="1090"/>
    <s v="Plastic"/>
  </r>
  <r>
    <s v="HH"/>
    <s v="HH37"/>
    <s v="Efishing"/>
    <d v="2025-05-14T00:00:00"/>
    <x v="19"/>
    <n v="495"/>
    <n v="73"/>
    <n v="1740"/>
    <s v="Plastic"/>
  </r>
  <r>
    <s v="HH"/>
    <s v="HH24"/>
    <s v="Efishing"/>
    <d v="2025-10-14T00:00:00"/>
    <x v="19"/>
    <n v="240"/>
    <n v="160"/>
    <n v="35"/>
    <s v="Plastic"/>
  </r>
  <r>
    <s v="HH"/>
    <s v="HH24"/>
    <s v="Efishing"/>
    <d v="2025-10-14T00:00:00"/>
    <x v="19"/>
    <n v="135"/>
    <n v="322"/>
    <n v="40"/>
    <s v="Plastic"/>
  </r>
  <r>
    <s v="HH"/>
    <s v="HH24"/>
    <s v="Efishing"/>
    <d v="2025-10-14T00:00:00"/>
    <x v="19"/>
    <n v="209"/>
    <n v="170"/>
    <n v="35"/>
    <s v="Plastic"/>
  </r>
  <r>
    <s v="HH"/>
    <s v="HH10"/>
    <s v="Efishing"/>
    <d v="2025-10-15T00:00:00"/>
    <x v="19"/>
    <n v="260"/>
    <n v="239"/>
    <n v="30"/>
    <s v="Plastic"/>
  </r>
  <r>
    <s v="HH"/>
    <s v="HH39"/>
    <s v="Efishing"/>
    <d v="2025-05-14T00:00:00"/>
    <x v="20"/>
    <n v="165"/>
    <n v="25"/>
    <n v="53"/>
    <m/>
  </r>
  <r>
    <s v="HH"/>
    <s v="HH39"/>
    <s v="Efishing"/>
    <d v="2025-05-14T00:00:00"/>
    <x v="20"/>
    <n v="164"/>
    <n v="25"/>
    <n v="51"/>
    <m/>
  </r>
  <r>
    <s v="HH"/>
    <s v="HH39"/>
    <s v="Efishing"/>
    <d v="2025-05-14T00:00:00"/>
    <x v="20"/>
    <n v="144"/>
    <n v="25"/>
    <n v="23"/>
    <m/>
  </r>
  <r>
    <s v="HH"/>
    <s v="HH42B"/>
    <s v="Efishing"/>
    <d v="2025-05-14T00:00:00"/>
    <x v="20"/>
    <n v="115"/>
    <n v="20"/>
    <n v="17"/>
    <m/>
  </r>
  <r>
    <s v="HH"/>
    <s v="HH42B"/>
    <s v="Efishing"/>
    <d v="2025-05-14T00:00:00"/>
    <x v="20"/>
    <n v="116"/>
    <n v="19"/>
    <n v="16"/>
    <m/>
  </r>
  <r>
    <s v="HH"/>
    <s v="HH38"/>
    <s v="Efishing"/>
    <d v="2025-05-14T00:00:00"/>
    <x v="20"/>
    <n v="132"/>
    <n v="22"/>
    <n v="27"/>
    <m/>
  </r>
  <r>
    <s v="HH"/>
    <s v="HH38"/>
    <s v="Efishing"/>
    <d v="2025-05-14T00:00:00"/>
    <x v="20"/>
    <n v="145"/>
    <n v="25"/>
    <n v="37"/>
    <m/>
  </r>
  <r>
    <s v="HH"/>
    <s v="HH38"/>
    <s v="Efishing"/>
    <d v="2025-05-14T00:00:00"/>
    <x v="20"/>
    <n v="156"/>
    <n v="25"/>
    <n v="46"/>
    <m/>
  </r>
  <r>
    <s v="HH"/>
    <s v="HH37"/>
    <s v="Efishing"/>
    <d v="2025-05-14T00:00:00"/>
    <x v="20"/>
    <n v="113"/>
    <n v="17"/>
    <n v="18"/>
    <m/>
  </r>
  <r>
    <s v="HH"/>
    <s v="HH37"/>
    <s v="Efishing"/>
    <d v="2025-05-14T00:00:00"/>
    <x v="20"/>
    <n v="145"/>
    <n v="20"/>
    <n v="31"/>
    <m/>
  </r>
  <r>
    <s v="HH"/>
    <s v="HH37"/>
    <s v="Efishing"/>
    <d v="2025-05-14T00:00:00"/>
    <x v="20"/>
    <n v="93"/>
    <n v="17"/>
    <n v="8"/>
    <m/>
  </r>
  <r>
    <s v="HH"/>
    <s v="HH37"/>
    <s v="Efishing"/>
    <d v="2025-05-14T00:00:00"/>
    <x v="20"/>
    <n v="91"/>
    <n v="15"/>
    <n v="9"/>
    <m/>
  </r>
  <r>
    <s v="HH"/>
    <s v="HH37"/>
    <s v="Efishing"/>
    <d v="2025-05-14T00:00:00"/>
    <x v="20"/>
    <n v="77"/>
    <n v="14"/>
    <n v="7"/>
    <m/>
  </r>
  <r>
    <s v="HH"/>
    <s v="HH37"/>
    <s v="Efishing"/>
    <d v="2025-05-14T00:00:00"/>
    <x v="20"/>
    <n v="94"/>
    <n v="18"/>
    <n v="9"/>
    <m/>
  </r>
  <r>
    <s v="JH"/>
    <s v="JH_7"/>
    <s v="Efishing"/>
    <d v="2025-05-15T00:00:00"/>
    <x v="20"/>
    <n v="160"/>
    <n v="26"/>
    <n v="53"/>
    <m/>
  </r>
  <r>
    <s v="JH"/>
    <s v="JH_6"/>
    <s v="Efishing"/>
    <d v="2025-05-15T00:00:00"/>
    <x v="20"/>
    <n v="172"/>
    <n v="27"/>
    <n v="74"/>
    <m/>
  </r>
  <r>
    <s v="JH"/>
    <s v="JH_6"/>
    <s v="Efishing"/>
    <d v="2025-05-15T00:00:00"/>
    <x v="20"/>
    <n v="116"/>
    <n v="21"/>
    <n v="24"/>
    <m/>
  </r>
  <r>
    <s v="JH"/>
    <s v="JH_3"/>
    <s v="Efishing"/>
    <d v="2025-05-15T00:00:00"/>
    <x v="20"/>
    <n v="105"/>
    <n v="18"/>
    <n v="19"/>
    <m/>
  </r>
  <r>
    <s v="JH"/>
    <s v="JH_3"/>
    <s v="Efishing"/>
    <d v="2025-05-15T00:00:00"/>
    <x v="20"/>
    <n v="112"/>
    <n v="18"/>
    <n v="27"/>
    <m/>
  </r>
  <r>
    <s v="HH"/>
    <s v="HH39"/>
    <s v="Efishing"/>
    <d v="2025-05-14T00:00:00"/>
    <x v="20"/>
    <n v="165"/>
    <n v="25"/>
    <n v="53"/>
    <s v="Plastic"/>
  </r>
  <r>
    <s v="HH"/>
    <s v="HH39"/>
    <s v="Efishing"/>
    <d v="2025-05-14T00:00:00"/>
    <x v="20"/>
    <n v="164"/>
    <n v="25"/>
    <n v="51"/>
    <s v="Plastic"/>
  </r>
  <r>
    <s v="HH"/>
    <s v="HH39"/>
    <s v="Efishing"/>
    <d v="2025-05-14T00:00:00"/>
    <x v="20"/>
    <n v="144"/>
    <n v="25"/>
    <n v="23"/>
    <s v="Plastic"/>
  </r>
  <r>
    <s v="HH"/>
    <s v="HH42B"/>
    <s v="Efishing"/>
    <d v="2025-05-14T00:00:00"/>
    <x v="20"/>
    <n v="115"/>
    <n v="20"/>
    <n v="17"/>
    <s v="Plastic"/>
  </r>
  <r>
    <s v="HH"/>
    <s v="HH42B"/>
    <s v="Efishing"/>
    <d v="2025-05-14T00:00:00"/>
    <x v="20"/>
    <n v="116"/>
    <n v="19"/>
    <n v="16"/>
    <s v="Plastic"/>
  </r>
  <r>
    <s v="HH"/>
    <s v="HH38"/>
    <s v="Efishing"/>
    <d v="2025-05-14T00:00:00"/>
    <x v="20"/>
    <n v="132"/>
    <n v="22"/>
    <n v="27"/>
    <s v="Plastic"/>
  </r>
  <r>
    <s v="HH"/>
    <s v="HH38"/>
    <s v="Efishing"/>
    <d v="2025-05-14T00:00:00"/>
    <x v="20"/>
    <n v="145"/>
    <n v="25"/>
    <n v="37"/>
    <s v="Plastic"/>
  </r>
  <r>
    <s v="HH"/>
    <s v="HH38"/>
    <s v="Efishing"/>
    <d v="2025-05-14T00:00:00"/>
    <x v="20"/>
    <n v="156"/>
    <n v="25"/>
    <n v="46"/>
    <s v="Plastic"/>
  </r>
  <r>
    <s v="HH"/>
    <s v="HH37"/>
    <s v="Efishing"/>
    <d v="2025-05-14T00:00:00"/>
    <x v="20"/>
    <n v="113"/>
    <n v="17"/>
    <n v="18"/>
    <s v="Plastic"/>
  </r>
  <r>
    <s v="HH"/>
    <s v="HH37"/>
    <s v="Efishing"/>
    <d v="2025-05-14T00:00:00"/>
    <x v="20"/>
    <n v="145"/>
    <n v="20"/>
    <n v="31"/>
    <s v="Plastic"/>
  </r>
  <r>
    <s v="HH"/>
    <s v="HH37"/>
    <s v="Efishing"/>
    <d v="2025-05-14T00:00:00"/>
    <x v="20"/>
    <n v="93"/>
    <n v="17"/>
    <n v="8"/>
    <s v="Plastic"/>
  </r>
  <r>
    <s v="HH"/>
    <s v="HH37"/>
    <s v="Efishing"/>
    <d v="2025-05-14T00:00:00"/>
    <x v="20"/>
    <n v="91"/>
    <n v="15"/>
    <n v="9"/>
    <s v="Plastic"/>
  </r>
  <r>
    <s v="HH"/>
    <s v="HH37"/>
    <s v="Efishing"/>
    <d v="2025-05-14T00:00:00"/>
    <x v="20"/>
    <n v="77"/>
    <n v="14"/>
    <n v="7"/>
    <s v="Plastic"/>
  </r>
  <r>
    <s v="HH"/>
    <s v="HH37"/>
    <s v="Efishing"/>
    <d v="2025-05-14T00:00:00"/>
    <x v="20"/>
    <n v="94"/>
    <n v="18"/>
    <n v="9"/>
    <s v="Plastic"/>
  </r>
  <r>
    <s v="JH"/>
    <s v="JH_7"/>
    <s v="Efishing"/>
    <d v="2025-05-15T00:00:00"/>
    <x v="20"/>
    <n v="160"/>
    <n v="26"/>
    <n v="53"/>
    <s v="Plastic"/>
  </r>
  <r>
    <s v="JH"/>
    <s v="JH_6"/>
    <s v="Efishing"/>
    <d v="2025-05-15T00:00:00"/>
    <x v="20"/>
    <n v="172"/>
    <n v="27"/>
    <n v="74"/>
    <s v="Plastic"/>
  </r>
  <r>
    <s v="JH"/>
    <s v="JH_6"/>
    <s v="Efishing"/>
    <d v="2025-05-15T00:00:00"/>
    <x v="20"/>
    <n v="116"/>
    <n v="21"/>
    <n v="24"/>
    <s v="Plastic"/>
  </r>
  <r>
    <s v="JH"/>
    <s v="JH_3"/>
    <s v="Efishing"/>
    <d v="2025-05-15T00:00:00"/>
    <x v="20"/>
    <n v="105"/>
    <n v="18"/>
    <n v="19"/>
    <s v="Plastic"/>
  </r>
  <r>
    <s v="JH"/>
    <s v="JH_3"/>
    <s v="Efishing"/>
    <d v="2025-05-15T00:00:00"/>
    <x v="20"/>
    <n v="112"/>
    <n v="18"/>
    <n v="27"/>
    <s v="Plastic"/>
  </r>
  <r>
    <s v="HH"/>
    <s v="HH34"/>
    <s v="Efishing"/>
    <d v="2025-10-15T00:00:00"/>
    <x v="20"/>
    <n v="196"/>
    <n v="101"/>
    <n v="25"/>
    <s v="Plastic"/>
  </r>
  <r>
    <s v="HH"/>
    <s v="HH34"/>
    <s v="Efishing"/>
    <d v="2025-10-15T00:00:00"/>
    <x v="20"/>
    <n v="209"/>
    <n v="125"/>
    <n v="25"/>
    <s v="Plastic"/>
  </r>
  <r>
    <s v="HH"/>
    <s v="HH19"/>
    <s v="Efishing"/>
    <d v="2025-10-14T00:00:00"/>
    <x v="20"/>
    <n v="84"/>
    <n v="7"/>
    <n v="10"/>
    <s v="Plastic"/>
  </r>
  <r>
    <s v="HH"/>
    <s v="HH19"/>
    <s v="Efishing"/>
    <d v="2025-10-14T00:00:00"/>
    <x v="20"/>
    <n v="115"/>
    <n v="19"/>
    <n v="15"/>
    <s v="Plastic"/>
  </r>
  <r>
    <s v="HH"/>
    <s v="HH19"/>
    <s v="Efishing"/>
    <d v="2025-10-14T00:00:00"/>
    <x v="20"/>
    <n v="94"/>
    <n v="10"/>
    <n v="8"/>
    <s v="Plastic"/>
  </r>
  <r>
    <s v="HH"/>
    <s v="HH19"/>
    <s v="Efishing"/>
    <d v="2025-10-14T00:00:00"/>
    <x v="20"/>
    <n v="93"/>
    <n v="8"/>
    <n v="10"/>
    <s v="Plastic"/>
  </r>
  <r>
    <s v="HH"/>
    <s v="HH19"/>
    <s v="Efishing"/>
    <d v="2025-10-14T00:00:00"/>
    <x v="20"/>
    <n v="108"/>
    <n v="16"/>
    <n v="15"/>
    <s v="Plastic"/>
  </r>
  <r>
    <s v="HH"/>
    <s v="HH19"/>
    <s v="Efishing"/>
    <d v="2025-10-14T00:00:00"/>
    <x v="20"/>
    <n v="107"/>
    <n v="39"/>
    <n v="15"/>
    <s v="Plastic"/>
  </r>
  <r>
    <s v="HH"/>
    <s v="HH19"/>
    <s v="Efishing"/>
    <d v="2025-10-14T00:00:00"/>
    <x v="20"/>
    <n v="84"/>
    <n v="10"/>
    <n v="10"/>
    <s v="Plastic"/>
  </r>
  <r>
    <s v="HH"/>
    <s v="HH17"/>
    <s v="Efishing"/>
    <d v="2025-10-14T00:00:00"/>
    <x v="20"/>
    <n v="108"/>
    <n v="19"/>
    <n v="15"/>
    <s v="Plastic"/>
  </r>
  <r>
    <s v="HH"/>
    <s v="HH17"/>
    <s v="Efishing"/>
    <d v="2025-10-14T00:00:00"/>
    <x v="20"/>
    <n v="105"/>
    <n v="16"/>
    <n v="15"/>
    <s v="Plastic"/>
  </r>
  <r>
    <s v="HH"/>
    <s v="HH44"/>
    <s v="Efishing"/>
    <d v="2025-10-14T00:00:00"/>
    <x v="20"/>
    <n v="171"/>
    <n v="70"/>
    <n v="25"/>
    <s v="Plastic"/>
  </r>
  <r>
    <s v="HH"/>
    <s v="HH45"/>
    <s v="Efishing"/>
    <d v="2025-10-14T00:00:00"/>
    <x v="20"/>
    <n v="196"/>
    <n v="104"/>
    <n v="25"/>
    <s v="Plastic"/>
  </r>
  <r>
    <s v="HH"/>
    <s v="HH46"/>
    <s v="Efishing"/>
    <d v="2025-10-14T00:00:00"/>
    <x v="20"/>
    <n v="102"/>
    <n v="15"/>
    <n v="15"/>
    <s v="Plastic"/>
  </r>
  <r>
    <s v="HH"/>
    <s v="HH26"/>
    <s v="Efishing"/>
    <d v="2025-10-14T00:00:00"/>
    <x v="20"/>
    <n v="152"/>
    <n v="46"/>
    <n v="20"/>
    <s v="Plastic"/>
  </r>
  <r>
    <s v="HH"/>
    <s v="HH42B"/>
    <s v="Efishing"/>
    <d v="2025-10-16T00:00:00"/>
    <x v="20"/>
    <n v="246"/>
    <n v="219"/>
    <n v="30"/>
    <s v="Plastic"/>
  </r>
  <r>
    <s v="HH"/>
    <s v="HH10"/>
    <s v="Efishing"/>
    <d v="2025-10-15T00:00:00"/>
    <x v="20"/>
    <n v="230"/>
    <n v="170"/>
    <n v="30"/>
    <s v="Plastic"/>
  </r>
  <r>
    <s v="HH"/>
    <s v="HH10"/>
    <s v="Efishing"/>
    <d v="2025-10-15T00:00:00"/>
    <x v="20"/>
    <n v="182"/>
    <n v="75"/>
    <n v="20"/>
    <s v="Plastic"/>
  </r>
  <r>
    <s v="HH"/>
    <s v="HH10"/>
    <s v="Efishing"/>
    <d v="2025-10-15T00:00:00"/>
    <x v="20"/>
    <n v="120"/>
    <n v="21"/>
    <n v="10"/>
    <s v="Plastic"/>
  </r>
  <r>
    <s v="HH"/>
    <s v="HH10"/>
    <s v="Efishing"/>
    <d v="2025-10-15T00:00:00"/>
    <x v="20"/>
    <n v="119"/>
    <n v="22"/>
    <n v="10"/>
    <s v="Plastic"/>
  </r>
  <r>
    <s v="HH"/>
    <s v="HH10"/>
    <s v="Efishing"/>
    <d v="2025-10-15T00:00:00"/>
    <x v="20"/>
    <n v="95"/>
    <n v="11"/>
    <n v="10"/>
    <s v="Plastic"/>
  </r>
  <r>
    <s v="HH"/>
    <s v="HH11"/>
    <s v="Efishing"/>
    <d v="2025-10-15T00:00:00"/>
    <x v="20"/>
    <n v="226"/>
    <n v="180"/>
    <n v="25"/>
    <s v="Plastic"/>
  </r>
  <r>
    <s v="HH"/>
    <s v="HH04"/>
    <s v="Efishing"/>
    <d v="2025-10-28T00:00:00"/>
    <x v="20"/>
    <n v="182"/>
    <n v="81"/>
    <n v="40"/>
    <s v="Plastic"/>
  </r>
  <r>
    <s v="HH"/>
    <s v="HH04"/>
    <s v="Efishing"/>
    <d v="2026-10-28T00:00:00"/>
    <x v="20"/>
    <n v="121"/>
    <n v="23"/>
    <n v="10"/>
    <s v="Plastic"/>
  </r>
  <r>
    <s v="HH"/>
    <s v="HH04"/>
    <s v="Efishing"/>
    <d v="2027-10-28T00:00:00"/>
    <x v="20"/>
    <n v="115"/>
    <n v="18"/>
    <n v="15"/>
    <s v="Plastic"/>
  </r>
  <r>
    <s v="HH"/>
    <s v="HH04"/>
    <s v="Efishing"/>
    <d v="2028-10-28T00:00:00"/>
    <x v="20"/>
    <n v="121"/>
    <n v="17"/>
    <n v="10"/>
    <s v="Plastic"/>
  </r>
  <r>
    <s v="HH"/>
    <s v="HH38"/>
    <s v="Efishing"/>
    <d v="2025-10-21T00:00:00"/>
    <x v="20"/>
    <n v="202"/>
    <n v="95"/>
    <n v="21"/>
    <s v="Plastic"/>
  </r>
  <r>
    <s v="HH"/>
    <s v="HH38"/>
    <s v="Efishing"/>
    <d v="2025-10-21T00:00:00"/>
    <x v="20"/>
    <n v="160"/>
    <n v="43"/>
    <n v="20"/>
    <s v="Plastic"/>
  </r>
  <r>
    <s v="HH"/>
    <s v="HH39"/>
    <s v="Efishing"/>
    <d v="2025-10-21T00:00:00"/>
    <x v="20"/>
    <n v="155"/>
    <n v="42"/>
    <n v="18"/>
    <s v="Plast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F6C66-FE5E-494C-94DC-2E9CD6A79F6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L24" firstHeaderRow="1" firstDataRow="1" firstDataCol="1"/>
  <pivotFields count="9">
    <pivotField showAll="0"/>
    <pivotField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85"/>
  <sheetViews>
    <sheetView tabSelected="1" workbookViewId="0">
      <pane ySplit="1" topLeftCell="A2" activePane="bottomLeft" state="frozen"/>
      <selection pane="bottomLeft" activeCell="I77" sqref="A77:I77"/>
    </sheetView>
  </sheetViews>
  <sheetFormatPr defaultRowHeight="14.5" x14ac:dyDescent="0.35"/>
  <cols>
    <col min="3" max="3" width="10.7265625" customWidth="1"/>
    <col min="4" max="4" width="16.7265625" style="1" bestFit="1" customWidth="1"/>
    <col min="6" max="6" width="11" bestFit="1" customWidth="1"/>
    <col min="7" max="7" width="10.54296875" bestFit="1" customWidth="1"/>
    <col min="8" max="8" width="9" bestFit="1" customWidth="1"/>
    <col min="9" max="9" width="41.54296875" bestFit="1" customWidth="1"/>
    <col min="12" max="12" width="13.1796875" bestFit="1" customWidth="1"/>
    <col min="13" max="13" width="20.54296875" bestFit="1" customWidth="1"/>
    <col min="14" max="14" width="20.1796875" bestFit="1" customWidth="1"/>
    <col min="15" max="23" width="3" bestFit="1" customWidth="1"/>
    <col min="24" max="24" width="16" bestFit="1" customWidth="1"/>
    <col min="25" max="25" width="6.26953125" bestFit="1" customWidth="1"/>
    <col min="26" max="26" width="11" bestFit="1" customWidth="1"/>
    <col min="27" max="27" width="11.26953125" bestFit="1" customWidth="1"/>
    <col min="28" max="31" width="3" bestFit="1" customWidth="1"/>
    <col min="32" max="228" width="4" bestFit="1" customWidth="1"/>
    <col min="229" max="229" width="11.26953125" bestFit="1" customWidth="1"/>
  </cols>
  <sheetData>
    <row r="1" spans="1:12" s="8" customFormat="1" x14ac:dyDescent="0.35">
      <c r="A1" s="8" t="s">
        <v>0</v>
      </c>
      <c r="B1" s="8" t="s">
        <v>1</v>
      </c>
      <c r="C1" s="8" t="s">
        <v>124</v>
      </c>
      <c r="D1" s="9" t="s">
        <v>2</v>
      </c>
      <c r="E1" s="8" t="s">
        <v>3</v>
      </c>
      <c r="F1" t="s">
        <v>126</v>
      </c>
      <c r="G1" t="s">
        <v>127</v>
      </c>
      <c r="H1" t="s">
        <v>128</v>
      </c>
      <c r="I1" s="8" t="s">
        <v>123</v>
      </c>
    </row>
    <row r="2" spans="1:12" x14ac:dyDescent="0.35">
      <c r="A2" s="15" t="s">
        <v>11</v>
      </c>
      <c r="B2" s="15" t="s">
        <v>115</v>
      </c>
      <c r="C2" s="15" t="s">
        <v>125</v>
      </c>
      <c r="D2" s="16">
        <v>45958</v>
      </c>
      <c r="E2" s="15" t="s">
        <v>90</v>
      </c>
      <c r="F2" s="15">
        <v>131</v>
      </c>
      <c r="G2" s="15">
        <v>15</v>
      </c>
      <c r="H2" s="15">
        <v>35</v>
      </c>
      <c r="I2" s="15" t="s">
        <v>88</v>
      </c>
      <c r="J2" s="6"/>
      <c r="L2" s="3" t="s">
        <v>8</v>
      </c>
    </row>
    <row r="3" spans="1:12" x14ac:dyDescent="0.35">
      <c r="A3" s="15" t="s">
        <v>11</v>
      </c>
      <c r="B3" s="15" t="s">
        <v>108</v>
      </c>
      <c r="C3" s="15" t="s">
        <v>125</v>
      </c>
      <c r="D3" s="16">
        <v>45945</v>
      </c>
      <c r="E3" s="15" t="s">
        <v>20</v>
      </c>
      <c r="F3" s="15">
        <v>750</v>
      </c>
      <c r="G3" s="15">
        <v>40</v>
      </c>
      <c r="H3" s="15">
        <v>370</v>
      </c>
      <c r="I3" s="15" t="s">
        <v>88</v>
      </c>
      <c r="J3" s="6"/>
      <c r="L3" s="4" t="s">
        <v>7</v>
      </c>
    </row>
    <row r="4" spans="1:12" x14ac:dyDescent="0.35">
      <c r="A4" s="15" t="s">
        <v>11</v>
      </c>
      <c r="B4" s="15" t="s">
        <v>92</v>
      </c>
      <c r="C4" s="15" t="s">
        <v>125</v>
      </c>
      <c r="D4" s="16">
        <v>45944</v>
      </c>
      <c r="E4" s="15" t="s">
        <v>90</v>
      </c>
      <c r="F4" s="15">
        <v>192</v>
      </c>
      <c r="G4" s="15">
        <v>15</v>
      </c>
      <c r="H4" s="15">
        <v>139</v>
      </c>
      <c r="I4" s="15" t="s">
        <v>88</v>
      </c>
      <c r="J4" s="6"/>
      <c r="L4" s="4" t="s">
        <v>10</v>
      </c>
    </row>
    <row r="5" spans="1:12" x14ac:dyDescent="0.35">
      <c r="A5" s="15" t="s">
        <v>11</v>
      </c>
      <c r="B5" s="15" t="s">
        <v>93</v>
      </c>
      <c r="C5" s="15" t="s">
        <v>125</v>
      </c>
      <c r="D5" s="16">
        <v>45944</v>
      </c>
      <c r="E5" s="15" t="s">
        <v>90</v>
      </c>
      <c r="F5" s="15">
        <v>220</v>
      </c>
      <c r="G5" s="15">
        <v>35</v>
      </c>
      <c r="H5" s="15">
        <v>221</v>
      </c>
      <c r="I5" s="15" t="s">
        <v>88</v>
      </c>
      <c r="J5" s="6"/>
      <c r="L5" s="4" t="s">
        <v>13</v>
      </c>
    </row>
    <row r="6" spans="1:12" x14ac:dyDescent="0.35">
      <c r="A6" s="15" t="s">
        <v>11</v>
      </c>
      <c r="B6" s="15" t="s">
        <v>93</v>
      </c>
      <c r="C6" s="15" t="s">
        <v>125</v>
      </c>
      <c r="D6" s="16">
        <v>45944</v>
      </c>
      <c r="E6" s="15" t="s">
        <v>90</v>
      </c>
      <c r="F6" s="15">
        <v>120</v>
      </c>
      <c r="G6" s="15">
        <v>34</v>
      </c>
      <c r="H6" s="15">
        <v>215</v>
      </c>
      <c r="I6" s="15" t="s">
        <v>88</v>
      </c>
      <c r="J6" s="6"/>
      <c r="L6" s="4" t="s">
        <v>95</v>
      </c>
    </row>
    <row r="7" spans="1:12" x14ac:dyDescent="0.35">
      <c r="A7" s="15" t="s">
        <v>11</v>
      </c>
      <c r="B7" s="15" t="s">
        <v>81</v>
      </c>
      <c r="C7" s="15" t="s">
        <v>125</v>
      </c>
      <c r="D7" s="16">
        <v>45946</v>
      </c>
      <c r="E7" s="15" t="s">
        <v>91</v>
      </c>
      <c r="F7" s="15">
        <v>126</v>
      </c>
      <c r="G7" s="15">
        <v>25</v>
      </c>
      <c r="H7" s="15">
        <v>193</v>
      </c>
      <c r="I7" s="15" t="s">
        <v>88</v>
      </c>
      <c r="J7" s="6"/>
      <c r="L7" s="4" t="s">
        <v>16</v>
      </c>
    </row>
    <row r="8" spans="1:12" x14ac:dyDescent="0.35">
      <c r="A8" s="15" t="s">
        <v>11</v>
      </c>
      <c r="B8" s="15" t="s">
        <v>81</v>
      </c>
      <c r="C8" s="15" t="s">
        <v>125</v>
      </c>
      <c r="D8" s="16">
        <v>45946</v>
      </c>
      <c r="E8" s="15" t="s">
        <v>91</v>
      </c>
      <c r="F8" s="15">
        <v>124</v>
      </c>
      <c r="G8" s="15">
        <v>30</v>
      </c>
      <c r="H8" s="15">
        <v>186</v>
      </c>
      <c r="I8" s="15" t="s">
        <v>88</v>
      </c>
      <c r="J8" s="6"/>
      <c r="L8" s="4" t="s">
        <v>121</v>
      </c>
    </row>
    <row r="9" spans="1:12" x14ac:dyDescent="0.35">
      <c r="A9" s="15" t="s">
        <v>11</v>
      </c>
      <c r="B9" s="15" t="s">
        <v>116</v>
      </c>
      <c r="C9" s="15" t="s">
        <v>125</v>
      </c>
      <c r="D9" s="16">
        <v>45958</v>
      </c>
      <c r="E9" s="15" t="s">
        <v>29</v>
      </c>
      <c r="F9" s="15">
        <v>182</v>
      </c>
      <c r="G9" s="15">
        <v>40</v>
      </c>
      <c r="H9" s="15">
        <v>81</v>
      </c>
      <c r="I9" s="15" t="s">
        <v>88</v>
      </c>
      <c r="J9" s="6"/>
      <c r="L9" s="4" t="s">
        <v>18</v>
      </c>
    </row>
    <row r="10" spans="1:12" x14ac:dyDescent="0.35">
      <c r="A10" s="15" t="s">
        <v>11</v>
      </c>
      <c r="B10" s="15" t="s">
        <v>93</v>
      </c>
      <c r="C10" s="15" t="s">
        <v>125</v>
      </c>
      <c r="D10" s="16">
        <v>45944</v>
      </c>
      <c r="E10" s="15" t="s">
        <v>7</v>
      </c>
      <c r="F10" s="15">
        <v>92</v>
      </c>
      <c r="G10" s="15">
        <v>8</v>
      </c>
      <c r="H10" s="15">
        <v>15</v>
      </c>
      <c r="I10" s="15" t="s">
        <v>88</v>
      </c>
      <c r="J10" s="6"/>
      <c r="L10" s="4" t="s">
        <v>19</v>
      </c>
    </row>
    <row r="11" spans="1:12" x14ac:dyDescent="0.35">
      <c r="A11" s="6" t="s">
        <v>11</v>
      </c>
      <c r="B11" s="6" t="s">
        <v>115</v>
      </c>
      <c r="C11" t="s">
        <v>125</v>
      </c>
      <c r="D11" s="10">
        <v>45958</v>
      </c>
      <c r="E11" s="6" t="s">
        <v>90</v>
      </c>
      <c r="F11" s="6">
        <v>186</v>
      </c>
      <c r="G11" s="6">
        <v>26</v>
      </c>
      <c r="H11" s="6">
        <v>110</v>
      </c>
      <c r="I11" s="13" t="s">
        <v>88</v>
      </c>
      <c r="J11" s="6"/>
      <c r="L11" s="4" t="s">
        <v>20</v>
      </c>
    </row>
    <row r="12" spans="1:12" x14ac:dyDescent="0.35">
      <c r="A12" s="6" t="s">
        <v>11</v>
      </c>
      <c r="B12" s="6" t="s">
        <v>115</v>
      </c>
      <c r="C12" t="s">
        <v>125</v>
      </c>
      <c r="D12" s="10">
        <v>45958</v>
      </c>
      <c r="E12" s="6" t="s">
        <v>90</v>
      </c>
      <c r="F12" s="6">
        <v>164</v>
      </c>
      <c r="G12" s="6">
        <v>20</v>
      </c>
      <c r="H12" s="6">
        <v>63</v>
      </c>
      <c r="I12" s="6" t="s">
        <v>88</v>
      </c>
      <c r="J12" s="6"/>
      <c r="L12" s="4" t="s">
        <v>21</v>
      </c>
    </row>
    <row r="13" spans="1:12" x14ac:dyDescent="0.35">
      <c r="A13" s="6" t="s">
        <v>11</v>
      </c>
      <c r="B13" s="6" t="s">
        <v>115</v>
      </c>
      <c r="C13" t="s">
        <v>125</v>
      </c>
      <c r="D13" s="10">
        <v>45958</v>
      </c>
      <c r="E13" s="6" t="s">
        <v>90</v>
      </c>
      <c r="F13" s="6">
        <v>143</v>
      </c>
      <c r="G13" s="6">
        <v>19</v>
      </c>
      <c r="H13" s="6">
        <v>38</v>
      </c>
      <c r="I13" s="6" t="s">
        <v>88</v>
      </c>
      <c r="L13" s="4" t="s">
        <v>106</v>
      </c>
    </row>
    <row r="14" spans="1:12" x14ac:dyDescent="0.35">
      <c r="A14" s="6" t="s">
        <v>11</v>
      </c>
      <c r="B14" s="6" t="s">
        <v>116</v>
      </c>
      <c r="C14" t="s">
        <v>125</v>
      </c>
      <c r="D14" s="10">
        <v>46323</v>
      </c>
      <c r="E14" s="6" t="s">
        <v>29</v>
      </c>
      <c r="F14" s="6">
        <v>121</v>
      </c>
      <c r="G14" s="6">
        <v>10</v>
      </c>
      <c r="H14" s="6">
        <v>23</v>
      </c>
      <c r="I14" s="6" t="s">
        <v>88</v>
      </c>
      <c r="J14" s="6"/>
      <c r="L14" s="4" t="s">
        <v>23</v>
      </c>
    </row>
    <row r="15" spans="1:12" x14ac:dyDescent="0.35">
      <c r="A15" s="6" t="s">
        <v>11</v>
      </c>
      <c r="B15" s="6" t="s">
        <v>116</v>
      </c>
      <c r="C15" t="s">
        <v>125</v>
      </c>
      <c r="D15" s="10">
        <v>47054</v>
      </c>
      <c r="E15" s="6" t="s">
        <v>29</v>
      </c>
      <c r="F15" s="6">
        <v>121</v>
      </c>
      <c r="G15" s="6">
        <v>10</v>
      </c>
      <c r="H15" s="6">
        <v>17</v>
      </c>
      <c r="I15" s="6" t="s">
        <v>88</v>
      </c>
      <c r="J15" s="6"/>
      <c r="L15" s="4" t="s">
        <v>98</v>
      </c>
    </row>
    <row r="16" spans="1:12" x14ac:dyDescent="0.35">
      <c r="A16" s="6" t="s">
        <v>11</v>
      </c>
      <c r="B16" s="6" t="s">
        <v>116</v>
      </c>
      <c r="C16" t="s">
        <v>125</v>
      </c>
      <c r="D16" s="10">
        <v>46688</v>
      </c>
      <c r="E16" s="6" t="s">
        <v>29</v>
      </c>
      <c r="F16" s="6">
        <v>115</v>
      </c>
      <c r="G16" s="6">
        <v>15</v>
      </c>
      <c r="H16" s="6">
        <v>18</v>
      </c>
      <c r="I16" s="6" t="s">
        <v>88</v>
      </c>
      <c r="J16" s="6"/>
      <c r="L16" s="4" t="s">
        <v>91</v>
      </c>
    </row>
    <row r="17" spans="1:34" x14ac:dyDescent="0.35">
      <c r="A17" s="6" t="s">
        <v>11</v>
      </c>
      <c r="B17" s="6" t="s">
        <v>114</v>
      </c>
      <c r="C17" t="s">
        <v>125</v>
      </c>
      <c r="D17" s="10">
        <v>45958</v>
      </c>
      <c r="E17" s="6" t="s">
        <v>24</v>
      </c>
      <c r="F17" s="6">
        <v>241</v>
      </c>
      <c r="G17" s="6">
        <v>30</v>
      </c>
      <c r="H17" s="6">
        <v>336</v>
      </c>
      <c r="I17" s="6" t="s">
        <v>88</v>
      </c>
      <c r="J17" s="6"/>
      <c r="L17" s="4" t="s">
        <v>24</v>
      </c>
    </row>
    <row r="18" spans="1:34" x14ac:dyDescent="0.35">
      <c r="A18" s="6" t="s">
        <v>11</v>
      </c>
      <c r="B18" s="6" t="s">
        <v>114</v>
      </c>
      <c r="C18" t="s">
        <v>125</v>
      </c>
      <c r="D18" s="10">
        <v>45958</v>
      </c>
      <c r="E18" s="6" t="s">
        <v>90</v>
      </c>
      <c r="F18" s="6">
        <v>183</v>
      </c>
      <c r="G18" s="6">
        <v>27</v>
      </c>
      <c r="H18" s="6">
        <v>110</v>
      </c>
      <c r="I18" s="6" t="s">
        <v>88</v>
      </c>
      <c r="J18" s="6"/>
      <c r="L18" s="4" t="s">
        <v>97</v>
      </c>
    </row>
    <row r="19" spans="1:34" x14ac:dyDescent="0.35">
      <c r="A19" s="6" t="s">
        <v>11</v>
      </c>
      <c r="B19" s="6" t="s">
        <v>114</v>
      </c>
      <c r="C19" t="s">
        <v>125</v>
      </c>
      <c r="D19" s="10">
        <v>45958</v>
      </c>
      <c r="E19" s="6" t="s">
        <v>90</v>
      </c>
      <c r="F19" s="6">
        <v>180</v>
      </c>
      <c r="G19" s="6">
        <v>26</v>
      </c>
      <c r="H19" s="6">
        <v>100</v>
      </c>
      <c r="I19" s="6" t="s">
        <v>88</v>
      </c>
      <c r="J19" s="6"/>
      <c r="L19" s="4" t="s">
        <v>26</v>
      </c>
    </row>
    <row r="20" spans="1:34" x14ac:dyDescent="0.35">
      <c r="A20" s="6" t="s">
        <v>11</v>
      </c>
      <c r="B20" s="6" t="s">
        <v>111</v>
      </c>
      <c r="C20" t="s">
        <v>125</v>
      </c>
      <c r="D20" s="10">
        <v>45958</v>
      </c>
      <c r="E20" s="6" t="s">
        <v>20</v>
      </c>
      <c r="F20" s="6">
        <v>400</v>
      </c>
      <c r="G20" s="6">
        <v>55</v>
      </c>
      <c r="H20" s="6">
        <v>1060</v>
      </c>
      <c r="I20" s="6" t="s">
        <v>88</v>
      </c>
      <c r="J20" s="6"/>
      <c r="L20" s="4" t="s">
        <v>27</v>
      </c>
    </row>
    <row r="21" spans="1:34" x14ac:dyDescent="0.35">
      <c r="A21" s="6" t="s">
        <v>11</v>
      </c>
      <c r="B21" s="6" t="s">
        <v>111</v>
      </c>
      <c r="C21" t="s">
        <v>125</v>
      </c>
      <c r="D21" s="10">
        <v>45958</v>
      </c>
      <c r="E21" s="6" t="s">
        <v>20</v>
      </c>
      <c r="F21" s="6">
        <v>395</v>
      </c>
      <c r="G21" s="6">
        <v>63</v>
      </c>
      <c r="H21" s="6">
        <v>1030</v>
      </c>
      <c r="I21" s="6" t="s">
        <v>88</v>
      </c>
      <c r="J21" s="6"/>
      <c r="L21" s="4" t="s">
        <v>90</v>
      </c>
    </row>
    <row r="22" spans="1:34" x14ac:dyDescent="0.35">
      <c r="A22" s="13" t="s">
        <v>11</v>
      </c>
      <c r="B22" s="13" t="s">
        <v>108</v>
      </c>
      <c r="C22" s="13" t="s">
        <v>125</v>
      </c>
      <c r="D22" s="14">
        <v>45945</v>
      </c>
      <c r="E22" s="13" t="s">
        <v>7</v>
      </c>
      <c r="F22" s="13">
        <v>115</v>
      </c>
      <c r="G22" s="13">
        <v>19</v>
      </c>
      <c r="H22" s="13">
        <v>20</v>
      </c>
      <c r="I22" s="6" t="s">
        <v>88</v>
      </c>
      <c r="J22" s="6"/>
      <c r="L22" s="4" t="s">
        <v>28</v>
      </c>
    </row>
    <row r="23" spans="1:34" x14ac:dyDescent="0.35">
      <c r="A23" s="6" t="s">
        <v>11</v>
      </c>
      <c r="B23" s="6" t="s">
        <v>108</v>
      </c>
      <c r="C23" t="s">
        <v>125</v>
      </c>
      <c r="D23" s="10">
        <v>45945</v>
      </c>
      <c r="E23" s="6" t="s">
        <v>24</v>
      </c>
      <c r="F23" s="6">
        <v>200</v>
      </c>
      <c r="G23" s="6">
        <v>32</v>
      </c>
      <c r="H23" s="6">
        <v>250</v>
      </c>
      <c r="I23" s="6" t="s">
        <v>88</v>
      </c>
      <c r="J23" s="6"/>
      <c r="L23" s="4" t="s">
        <v>29</v>
      </c>
    </row>
    <row r="24" spans="1:34" x14ac:dyDescent="0.35">
      <c r="A24" s="6" t="s">
        <v>11</v>
      </c>
      <c r="B24" s="6" t="s">
        <v>108</v>
      </c>
      <c r="C24" t="s">
        <v>125</v>
      </c>
      <c r="D24" s="10">
        <v>45945</v>
      </c>
      <c r="E24" s="6" t="s">
        <v>24</v>
      </c>
      <c r="F24" s="6">
        <v>200</v>
      </c>
      <c r="G24" s="6">
        <v>25</v>
      </c>
      <c r="H24" s="6">
        <v>168</v>
      </c>
      <c r="I24" s="6" t="s">
        <v>88</v>
      </c>
      <c r="J24" s="6"/>
      <c r="L24" s="4" t="s">
        <v>30</v>
      </c>
    </row>
    <row r="25" spans="1:34" x14ac:dyDescent="0.35">
      <c r="A25" s="6" t="s">
        <v>11</v>
      </c>
      <c r="B25" s="6" t="s">
        <v>108</v>
      </c>
      <c r="C25" t="s">
        <v>125</v>
      </c>
      <c r="D25" s="10">
        <v>45945</v>
      </c>
      <c r="E25" s="6" t="s">
        <v>24</v>
      </c>
      <c r="F25" s="6">
        <v>192</v>
      </c>
      <c r="G25" s="6">
        <v>21</v>
      </c>
      <c r="H25" s="6">
        <v>29</v>
      </c>
      <c r="I25" s="6" t="s">
        <v>88</v>
      </c>
      <c r="J25" s="6"/>
    </row>
    <row r="26" spans="1:34" x14ac:dyDescent="0.35">
      <c r="A26" s="6" t="s">
        <v>11</v>
      </c>
      <c r="B26" s="6" t="s">
        <v>108</v>
      </c>
      <c r="C26" t="s">
        <v>125</v>
      </c>
      <c r="D26" s="10">
        <v>45945</v>
      </c>
      <c r="E26" s="6" t="s">
        <v>24</v>
      </c>
      <c r="F26" s="6">
        <v>180</v>
      </c>
      <c r="G26" s="6">
        <v>21</v>
      </c>
      <c r="H26" s="6">
        <v>113</v>
      </c>
      <c r="I26" s="13" t="s">
        <v>88</v>
      </c>
      <c r="J26" s="6"/>
      <c r="X26" t="s">
        <v>122</v>
      </c>
    </row>
    <row r="27" spans="1:34" x14ac:dyDescent="0.35">
      <c r="A27" s="6" t="s">
        <v>11</v>
      </c>
      <c r="B27" s="6" t="s">
        <v>108</v>
      </c>
      <c r="C27" t="s">
        <v>125</v>
      </c>
      <c r="D27" s="10">
        <v>45945</v>
      </c>
      <c r="E27" s="6" t="s">
        <v>28</v>
      </c>
      <c r="F27" s="6">
        <v>260</v>
      </c>
      <c r="G27" s="6">
        <v>30</v>
      </c>
      <c r="H27" s="6">
        <v>239</v>
      </c>
      <c r="I27" s="6" t="s">
        <v>88</v>
      </c>
      <c r="X27" s="5" t="s">
        <v>33</v>
      </c>
      <c r="Y27" s="5" t="s">
        <v>34</v>
      </c>
      <c r="Z27" s="5" t="s">
        <v>35</v>
      </c>
      <c r="AA27" s="5" t="s">
        <v>36</v>
      </c>
      <c r="AB27" s="5" t="s">
        <v>37</v>
      </c>
    </row>
    <row r="28" spans="1:34" x14ac:dyDescent="0.35">
      <c r="A28" s="6" t="s">
        <v>11</v>
      </c>
      <c r="B28" s="6" t="s">
        <v>108</v>
      </c>
      <c r="C28" t="s">
        <v>125</v>
      </c>
      <c r="D28" s="10">
        <v>45945</v>
      </c>
      <c r="E28" s="6" t="s">
        <v>29</v>
      </c>
      <c r="F28" s="6">
        <v>230</v>
      </c>
      <c r="G28" s="6">
        <v>30</v>
      </c>
      <c r="H28" s="6">
        <v>170</v>
      </c>
      <c r="I28" s="6" t="s">
        <v>88</v>
      </c>
      <c r="J28" s="6"/>
      <c r="V28" t="s">
        <v>38</v>
      </c>
      <c r="W28">
        <v>31</v>
      </c>
      <c r="X28">
        <v>126</v>
      </c>
      <c r="Y28">
        <v>400</v>
      </c>
      <c r="Z28" t="s">
        <v>39</v>
      </c>
    </row>
    <row r="29" spans="1:34" x14ac:dyDescent="0.35">
      <c r="A29" s="6" t="s">
        <v>11</v>
      </c>
      <c r="B29" s="6" t="s">
        <v>108</v>
      </c>
      <c r="C29" t="s">
        <v>125</v>
      </c>
      <c r="D29" s="10">
        <v>45945</v>
      </c>
      <c r="E29" s="6" t="s">
        <v>29</v>
      </c>
      <c r="F29" s="6">
        <v>182</v>
      </c>
      <c r="G29" s="6">
        <v>20</v>
      </c>
      <c r="H29" s="6">
        <v>75</v>
      </c>
      <c r="I29" s="2" t="s">
        <v>88</v>
      </c>
      <c r="J29" s="6"/>
      <c r="V29" t="s">
        <v>40</v>
      </c>
      <c r="W29">
        <v>2</v>
      </c>
      <c r="X29">
        <v>420</v>
      </c>
      <c r="Y29">
        <v>511</v>
      </c>
      <c r="Z29" t="s">
        <v>41</v>
      </c>
    </row>
    <row r="30" spans="1:34" x14ac:dyDescent="0.35">
      <c r="A30" s="6" t="s">
        <v>11</v>
      </c>
      <c r="B30" s="6" t="s">
        <v>108</v>
      </c>
      <c r="C30" t="s">
        <v>125</v>
      </c>
      <c r="D30" s="10">
        <v>45945</v>
      </c>
      <c r="E30" s="6" t="s">
        <v>29</v>
      </c>
      <c r="F30" s="6">
        <v>120</v>
      </c>
      <c r="G30" s="6">
        <v>10</v>
      </c>
      <c r="H30" s="6">
        <v>21</v>
      </c>
      <c r="I30" s="13" t="s">
        <v>88</v>
      </c>
      <c r="J30" s="6"/>
      <c r="V30" t="s">
        <v>13</v>
      </c>
      <c r="W30">
        <v>2</v>
      </c>
      <c r="X30">
        <v>392</v>
      </c>
      <c r="Y30">
        <v>610</v>
      </c>
      <c r="Z30" t="s">
        <v>41</v>
      </c>
    </row>
    <row r="31" spans="1:34" x14ac:dyDescent="0.35">
      <c r="A31" s="6" t="s">
        <v>11</v>
      </c>
      <c r="B31" s="6" t="s">
        <v>108</v>
      </c>
      <c r="C31" t="s">
        <v>125</v>
      </c>
      <c r="D31" s="10">
        <v>45945</v>
      </c>
      <c r="E31" s="6" t="s">
        <v>29</v>
      </c>
      <c r="F31" s="6">
        <v>119</v>
      </c>
      <c r="G31" s="6">
        <v>22</v>
      </c>
      <c r="H31" s="6">
        <v>10</v>
      </c>
      <c r="I31" s="6" t="s">
        <v>88</v>
      </c>
      <c r="J31" s="6"/>
      <c r="V31" t="s">
        <v>42</v>
      </c>
      <c r="W31">
        <v>1</v>
      </c>
      <c r="X31">
        <v>638</v>
      </c>
      <c r="Y31">
        <v>638</v>
      </c>
      <c r="Z31" t="s">
        <v>41</v>
      </c>
    </row>
    <row r="32" spans="1:34" s="2" customFormat="1" x14ac:dyDescent="0.35">
      <c r="A32" s="6" t="s">
        <v>11</v>
      </c>
      <c r="B32" s="6" t="s">
        <v>108</v>
      </c>
      <c r="C32" t="s">
        <v>125</v>
      </c>
      <c r="D32" s="10">
        <v>45945</v>
      </c>
      <c r="E32" s="6" t="s">
        <v>29</v>
      </c>
      <c r="F32" s="6">
        <v>95</v>
      </c>
      <c r="G32" s="6">
        <v>10</v>
      </c>
      <c r="H32" s="6">
        <v>11</v>
      </c>
      <c r="I32" s="6" t="s">
        <v>88</v>
      </c>
      <c r="J32" s="6"/>
      <c r="R32"/>
      <c r="S32"/>
      <c r="T32"/>
      <c r="U32"/>
      <c r="V32" t="s">
        <v>44</v>
      </c>
      <c r="W32">
        <v>3</v>
      </c>
      <c r="X32">
        <v>546</v>
      </c>
      <c r="Y32">
        <v>588</v>
      </c>
      <c r="Z32" t="s">
        <v>41</v>
      </c>
      <c r="AA32"/>
      <c r="AB32"/>
      <c r="AC32"/>
      <c r="AD32"/>
      <c r="AE32"/>
      <c r="AF32"/>
      <c r="AG32"/>
      <c r="AH32"/>
    </row>
    <row r="33" spans="1:34" x14ac:dyDescent="0.35">
      <c r="A33" s="6" t="s">
        <v>11</v>
      </c>
      <c r="B33" s="6" t="s">
        <v>109</v>
      </c>
      <c r="C33" t="s">
        <v>125</v>
      </c>
      <c r="D33" s="10">
        <v>45945</v>
      </c>
      <c r="E33" s="6" t="s">
        <v>7</v>
      </c>
      <c r="F33" s="6">
        <v>210</v>
      </c>
      <c r="G33" s="6">
        <v>40</v>
      </c>
      <c r="H33" s="6">
        <v>147</v>
      </c>
      <c r="I33" s="6" t="s">
        <v>88</v>
      </c>
      <c r="J33" s="6"/>
      <c r="V33" t="s">
        <v>47</v>
      </c>
      <c r="W33">
        <v>15</v>
      </c>
      <c r="X33">
        <v>212</v>
      </c>
      <c r="Y33">
        <v>290</v>
      </c>
      <c r="Z33" t="s">
        <v>48</v>
      </c>
    </row>
    <row r="34" spans="1:34" x14ac:dyDescent="0.35">
      <c r="A34" s="6" t="s">
        <v>11</v>
      </c>
      <c r="B34" s="6" t="s">
        <v>109</v>
      </c>
      <c r="C34" t="s">
        <v>125</v>
      </c>
      <c r="D34" s="10">
        <v>45945</v>
      </c>
      <c r="E34" s="6" t="s">
        <v>13</v>
      </c>
      <c r="F34" s="6">
        <v>683</v>
      </c>
      <c r="G34" s="6">
        <v>85</v>
      </c>
      <c r="H34" s="6">
        <v>3390</v>
      </c>
      <c r="I34" s="6" t="s">
        <v>88</v>
      </c>
      <c r="J34" s="6"/>
      <c r="V34" t="s">
        <v>50</v>
      </c>
      <c r="W34">
        <v>6</v>
      </c>
      <c r="X34">
        <v>321</v>
      </c>
      <c r="Y34">
        <v>430</v>
      </c>
      <c r="Z34" t="s">
        <v>41</v>
      </c>
    </row>
    <row r="35" spans="1:34" x14ac:dyDescent="0.35">
      <c r="A35" s="6" t="s">
        <v>11</v>
      </c>
      <c r="B35" s="6" t="s">
        <v>109</v>
      </c>
      <c r="C35" t="s">
        <v>125</v>
      </c>
      <c r="D35" s="10">
        <v>45945</v>
      </c>
      <c r="E35" s="6" t="s">
        <v>20</v>
      </c>
      <c r="F35" s="6">
        <v>140</v>
      </c>
      <c r="G35" s="6">
        <v>15</v>
      </c>
      <c r="H35" s="6">
        <v>42</v>
      </c>
      <c r="I35" s="6" t="s">
        <v>88</v>
      </c>
      <c r="J35" s="6"/>
      <c r="V35" t="s">
        <v>53</v>
      </c>
      <c r="W35">
        <v>17</v>
      </c>
      <c r="X35">
        <v>145</v>
      </c>
      <c r="Y35">
        <v>470</v>
      </c>
      <c r="Z35" t="s">
        <v>54</v>
      </c>
    </row>
    <row r="36" spans="1:34" x14ac:dyDescent="0.35">
      <c r="A36" s="6" t="s">
        <v>11</v>
      </c>
      <c r="B36" s="6" t="s">
        <v>109</v>
      </c>
      <c r="C36" t="s">
        <v>125</v>
      </c>
      <c r="D36" s="10">
        <v>45945</v>
      </c>
      <c r="E36" s="6" t="s">
        <v>20</v>
      </c>
      <c r="F36" s="6">
        <v>130</v>
      </c>
      <c r="G36" s="6">
        <v>15</v>
      </c>
      <c r="H36" s="6">
        <v>33</v>
      </c>
      <c r="I36" s="6" t="s">
        <v>88</v>
      </c>
      <c r="J36" s="6"/>
      <c r="V36" t="s">
        <v>57</v>
      </c>
      <c r="W36">
        <v>2</v>
      </c>
      <c r="X36">
        <v>620</v>
      </c>
      <c r="Y36">
        <v>943</v>
      </c>
      <c r="Z36" t="s">
        <v>41</v>
      </c>
    </row>
    <row r="37" spans="1:34" x14ac:dyDescent="0.35">
      <c r="A37" s="6" t="s">
        <v>11</v>
      </c>
      <c r="B37" s="6" t="s">
        <v>109</v>
      </c>
      <c r="C37" t="s">
        <v>125</v>
      </c>
      <c r="D37" s="10">
        <v>45945</v>
      </c>
      <c r="E37" s="6" t="s">
        <v>29</v>
      </c>
      <c r="F37" s="6">
        <v>226</v>
      </c>
      <c r="G37" s="6">
        <v>25</v>
      </c>
      <c r="H37" s="6">
        <v>180</v>
      </c>
      <c r="I37" s="6" t="s">
        <v>88</v>
      </c>
      <c r="J37" s="6"/>
      <c r="V37" t="s">
        <v>59</v>
      </c>
      <c r="W37">
        <v>1</v>
      </c>
      <c r="X37">
        <v>104</v>
      </c>
      <c r="Y37">
        <v>104</v>
      </c>
      <c r="Z37" t="s">
        <v>60</v>
      </c>
    </row>
    <row r="38" spans="1:34" x14ac:dyDescent="0.35">
      <c r="A38" t="s">
        <v>11</v>
      </c>
      <c r="B38" t="s">
        <v>14</v>
      </c>
      <c r="C38" t="s">
        <v>125</v>
      </c>
      <c r="D38" s="1">
        <v>45792</v>
      </c>
      <c r="E38" t="s">
        <v>7</v>
      </c>
      <c r="F38">
        <v>204</v>
      </c>
      <c r="G38" s="2">
        <v>42</v>
      </c>
      <c r="H38" s="2">
        <v>100</v>
      </c>
      <c r="I38" s="6" t="s">
        <v>88</v>
      </c>
      <c r="J38" s="6"/>
      <c r="V38" t="s">
        <v>62</v>
      </c>
      <c r="W38">
        <v>1</v>
      </c>
      <c r="X38">
        <v>155</v>
      </c>
      <c r="Y38">
        <v>155</v>
      </c>
      <c r="Z38" t="s">
        <v>41</v>
      </c>
    </row>
    <row r="39" spans="1:34" x14ac:dyDescent="0.35">
      <c r="A39" s="6" t="s">
        <v>11</v>
      </c>
      <c r="B39" s="6" t="s">
        <v>14</v>
      </c>
      <c r="C39" t="s">
        <v>125</v>
      </c>
      <c r="D39" s="10">
        <v>45945</v>
      </c>
      <c r="E39" s="6" t="s">
        <v>19</v>
      </c>
      <c r="F39" s="6">
        <v>185</v>
      </c>
      <c r="G39" s="6">
        <v>35</v>
      </c>
      <c r="H39" s="6">
        <v>154</v>
      </c>
      <c r="I39" s="6" t="s">
        <v>88</v>
      </c>
      <c r="J39" s="6"/>
      <c r="V39" t="s">
        <v>63</v>
      </c>
      <c r="W39">
        <v>7</v>
      </c>
      <c r="X39">
        <v>260</v>
      </c>
      <c r="Y39">
        <v>710</v>
      </c>
      <c r="Z39" t="s">
        <v>41</v>
      </c>
    </row>
    <row r="40" spans="1:34" s="2" customFormat="1" x14ac:dyDescent="0.35">
      <c r="A40" s="6" t="s">
        <v>11</v>
      </c>
      <c r="B40" s="6" t="s">
        <v>14</v>
      </c>
      <c r="C40" t="s">
        <v>125</v>
      </c>
      <c r="D40" s="10">
        <v>45945</v>
      </c>
      <c r="E40" s="6" t="s">
        <v>19</v>
      </c>
      <c r="F40" s="6">
        <v>162</v>
      </c>
      <c r="G40" s="6">
        <v>25</v>
      </c>
      <c r="H40" s="6">
        <v>107</v>
      </c>
      <c r="I40" s="6" t="s">
        <v>88</v>
      </c>
      <c r="J40" s="6"/>
      <c r="R40"/>
      <c r="S40"/>
      <c r="T40"/>
      <c r="U40"/>
      <c r="V40" t="s">
        <v>66</v>
      </c>
      <c r="W40">
        <v>6</v>
      </c>
      <c r="X40">
        <v>222</v>
      </c>
      <c r="Y40">
        <v>532</v>
      </c>
      <c r="Z40" t="s">
        <v>41</v>
      </c>
      <c r="AA40"/>
      <c r="AB40"/>
      <c r="AC40"/>
      <c r="AD40"/>
      <c r="AE40"/>
      <c r="AF40"/>
      <c r="AG40"/>
      <c r="AH40"/>
    </row>
    <row r="41" spans="1:34" s="2" customFormat="1" x14ac:dyDescent="0.35">
      <c r="A41" s="6" t="s">
        <v>11</v>
      </c>
      <c r="B41" s="6" t="s">
        <v>14</v>
      </c>
      <c r="C41" t="s">
        <v>125</v>
      </c>
      <c r="D41" s="10">
        <v>45945</v>
      </c>
      <c r="E41" s="6" t="s">
        <v>19</v>
      </c>
      <c r="F41" s="6">
        <v>119</v>
      </c>
      <c r="G41" s="6">
        <v>20</v>
      </c>
      <c r="H41" s="6">
        <v>43</v>
      </c>
      <c r="I41" s="6" t="s">
        <v>88</v>
      </c>
      <c r="J41"/>
      <c r="R41"/>
      <c r="S41"/>
      <c r="T41"/>
      <c r="U41"/>
      <c r="V41" t="s">
        <v>68</v>
      </c>
      <c r="W41">
        <v>19</v>
      </c>
      <c r="X41">
        <v>77</v>
      </c>
      <c r="Y41">
        <v>172</v>
      </c>
      <c r="Z41" t="s">
        <v>69</v>
      </c>
      <c r="AA41"/>
      <c r="AB41"/>
      <c r="AC41"/>
      <c r="AD41"/>
      <c r="AE41"/>
      <c r="AF41"/>
      <c r="AG41"/>
      <c r="AH41"/>
    </row>
    <row r="42" spans="1:34" x14ac:dyDescent="0.35">
      <c r="A42" t="s">
        <v>11</v>
      </c>
      <c r="B42" t="s">
        <v>84</v>
      </c>
      <c r="C42" t="s">
        <v>125</v>
      </c>
      <c r="D42" s="1">
        <v>46361</v>
      </c>
      <c r="E42" t="s">
        <v>27</v>
      </c>
      <c r="F42">
        <v>596</v>
      </c>
      <c r="G42">
        <v>83</v>
      </c>
      <c r="H42">
        <v>510</v>
      </c>
      <c r="I42" s="6" t="s">
        <v>88</v>
      </c>
      <c r="J42" s="6"/>
    </row>
    <row r="43" spans="1:34" x14ac:dyDescent="0.35">
      <c r="A43" s="6" t="s">
        <v>11</v>
      </c>
      <c r="B43" s="6" t="s">
        <v>92</v>
      </c>
      <c r="C43" t="s">
        <v>125</v>
      </c>
      <c r="D43" s="10">
        <v>45944</v>
      </c>
      <c r="E43" s="6" t="s">
        <v>7</v>
      </c>
      <c r="F43" s="6">
        <v>155</v>
      </c>
      <c r="G43" s="6">
        <v>25</v>
      </c>
      <c r="H43" s="6">
        <v>46</v>
      </c>
      <c r="I43" s="6" t="s">
        <v>88</v>
      </c>
      <c r="J43" s="6"/>
    </row>
    <row r="44" spans="1:34" x14ac:dyDescent="0.35">
      <c r="A44" s="6" t="s">
        <v>11</v>
      </c>
      <c r="B44" s="6" t="s">
        <v>92</v>
      </c>
      <c r="C44" t="s">
        <v>125</v>
      </c>
      <c r="D44" s="10">
        <v>45945</v>
      </c>
      <c r="E44" s="6" t="s">
        <v>7</v>
      </c>
      <c r="F44" s="6">
        <v>150</v>
      </c>
      <c r="G44" s="6">
        <v>25</v>
      </c>
      <c r="H44" s="6">
        <v>59</v>
      </c>
      <c r="I44" s="6" t="s">
        <v>88</v>
      </c>
      <c r="J44" s="6"/>
    </row>
    <row r="45" spans="1:34" x14ac:dyDescent="0.35">
      <c r="A45" s="6" t="s">
        <v>11</v>
      </c>
      <c r="B45" s="6" t="s">
        <v>92</v>
      </c>
      <c r="C45" t="s">
        <v>125</v>
      </c>
      <c r="D45" s="10">
        <v>45945</v>
      </c>
      <c r="E45" s="6" t="s">
        <v>7</v>
      </c>
      <c r="F45" s="6">
        <v>132</v>
      </c>
      <c r="G45" s="6">
        <v>25</v>
      </c>
      <c r="H45" s="6">
        <v>51</v>
      </c>
      <c r="I45" s="6" t="s">
        <v>88</v>
      </c>
      <c r="J45" s="6"/>
    </row>
    <row r="46" spans="1:34" x14ac:dyDescent="0.35">
      <c r="A46" s="6" t="s">
        <v>11</v>
      </c>
      <c r="B46" s="6" t="s">
        <v>92</v>
      </c>
      <c r="C46" t="s">
        <v>125</v>
      </c>
      <c r="D46" s="10">
        <v>45944</v>
      </c>
      <c r="E46" s="6" t="s">
        <v>19</v>
      </c>
      <c r="F46" s="6">
        <v>193</v>
      </c>
      <c r="G46" s="6">
        <v>35</v>
      </c>
      <c r="H46" s="6">
        <v>194</v>
      </c>
      <c r="I46" s="6" t="s">
        <v>88</v>
      </c>
      <c r="J46" s="6"/>
    </row>
    <row r="47" spans="1:34" x14ac:dyDescent="0.35">
      <c r="A47" s="6" t="s">
        <v>11</v>
      </c>
      <c r="B47" s="6" t="s">
        <v>92</v>
      </c>
      <c r="C47" t="s">
        <v>125</v>
      </c>
      <c r="D47" s="10">
        <v>45945</v>
      </c>
      <c r="E47" s="6" t="s">
        <v>19</v>
      </c>
      <c r="F47" s="6">
        <v>104</v>
      </c>
      <c r="G47" s="6">
        <v>15</v>
      </c>
      <c r="H47" s="6">
        <v>29</v>
      </c>
      <c r="I47" s="6" t="s">
        <v>88</v>
      </c>
      <c r="J47" s="6"/>
    </row>
    <row r="48" spans="1:34" x14ac:dyDescent="0.35">
      <c r="A48" s="6" t="s">
        <v>11</v>
      </c>
      <c r="B48" s="6" t="s">
        <v>92</v>
      </c>
      <c r="C48" t="s">
        <v>125</v>
      </c>
      <c r="D48" s="10">
        <v>45944</v>
      </c>
      <c r="E48" s="6" t="s">
        <v>19</v>
      </c>
      <c r="F48" s="6">
        <v>92</v>
      </c>
      <c r="G48" s="6">
        <v>15</v>
      </c>
      <c r="H48" s="6">
        <v>17</v>
      </c>
      <c r="I48" s="6" t="s">
        <v>88</v>
      </c>
      <c r="J48" s="6"/>
    </row>
    <row r="49" spans="1:10" s="2" customFormat="1" x14ac:dyDescent="0.35">
      <c r="A49" s="6" t="s">
        <v>11</v>
      </c>
      <c r="B49" s="6" t="s">
        <v>92</v>
      </c>
      <c r="C49" t="s">
        <v>125</v>
      </c>
      <c r="D49" s="10">
        <v>45944</v>
      </c>
      <c r="E49" s="6" t="s">
        <v>19</v>
      </c>
      <c r="F49" s="6">
        <v>90</v>
      </c>
      <c r="G49" s="6">
        <v>15</v>
      </c>
      <c r="H49" s="6">
        <v>15</v>
      </c>
      <c r="I49" s="6" t="s">
        <v>88</v>
      </c>
      <c r="J49" s="6"/>
    </row>
    <row r="50" spans="1:10" x14ac:dyDescent="0.35">
      <c r="A50" s="6" t="s">
        <v>11</v>
      </c>
      <c r="B50" s="6" t="s">
        <v>92</v>
      </c>
      <c r="C50" t="s">
        <v>125</v>
      </c>
      <c r="D50" s="10">
        <v>45944</v>
      </c>
      <c r="E50" s="6" t="s">
        <v>19</v>
      </c>
      <c r="F50" s="6">
        <v>90</v>
      </c>
      <c r="G50" s="6">
        <v>10</v>
      </c>
      <c r="H50" s="6">
        <v>18</v>
      </c>
      <c r="I50" s="6" t="s">
        <v>88</v>
      </c>
      <c r="J50" s="6"/>
    </row>
    <row r="51" spans="1:10" x14ac:dyDescent="0.35">
      <c r="A51" s="6" t="s">
        <v>11</v>
      </c>
      <c r="B51" s="6" t="s">
        <v>92</v>
      </c>
      <c r="C51" t="s">
        <v>125</v>
      </c>
      <c r="D51" s="10">
        <v>45944</v>
      </c>
      <c r="E51" s="6" t="s">
        <v>19</v>
      </c>
      <c r="F51" s="6">
        <v>87</v>
      </c>
      <c r="G51" s="6">
        <v>12</v>
      </c>
      <c r="H51" s="6">
        <v>15</v>
      </c>
      <c r="I51" s="6" t="s">
        <v>88</v>
      </c>
      <c r="J51" s="6"/>
    </row>
    <row r="52" spans="1:10" x14ac:dyDescent="0.35">
      <c r="A52" s="6" t="s">
        <v>11</v>
      </c>
      <c r="B52" s="6" t="s">
        <v>92</v>
      </c>
      <c r="C52" t="s">
        <v>125</v>
      </c>
      <c r="D52" s="10">
        <v>45944</v>
      </c>
      <c r="E52" s="6" t="s">
        <v>20</v>
      </c>
      <c r="F52" s="6">
        <v>119</v>
      </c>
      <c r="G52" s="6">
        <v>10</v>
      </c>
      <c r="H52" s="6">
        <v>23</v>
      </c>
      <c r="I52" s="6" t="s">
        <v>88</v>
      </c>
      <c r="J52" s="6"/>
    </row>
    <row r="53" spans="1:10" x14ac:dyDescent="0.35">
      <c r="A53" s="6" t="s">
        <v>11</v>
      </c>
      <c r="B53" s="6" t="s">
        <v>92</v>
      </c>
      <c r="C53" t="s">
        <v>125</v>
      </c>
      <c r="D53" s="10">
        <v>45944</v>
      </c>
      <c r="E53" s="6" t="s">
        <v>21</v>
      </c>
      <c r="F53" s="6">
        <v>156</v>
      </c>
      <c r="G53" s="6">
        <v>20</v>
      </c>
      <c r="H53" s="6">
        <v>57</v>
      </c>
      <c r="I53" s="6" t="s">
        <v>88</v>
      </c>
      <c r="J53" s="6"/>
    </row>
    <row r="54" spans="1:10" x14ac:dyDescent="0.35">
      <c r="A54" s="6" t="s">
        <v>11</v>
      </c>
      <c r="B54" s="6" t="s">
        <v>92</v>
      </c>
      <c r="C54" t="s">
        <v>125</v>
      </c>
      <c r="D54" s="10">
        <v>45945</v>
      </c>
      <c r="E54" s="6" t="s">
        <v>21</v>
      </c>
      <c r="F54" s="6">
        <v>149</v>
      </c>
      <c r="G54" s="6">
        <v>20</v>
      </c>
      <c r="H54" s="6">
        <v>50</v>
      </c>
      <c r="I54" s="6" t="s">
        <v>88</v>
      </c>
    </row>
    <row r="55" spans="1:10" x14ac:dyDescent="0.35">
      <c r="A55" s="6" t="s">
        <v>11</v>
      </c>
      <c r="B55" s="6" t="s">
        <v>92</v>
      </c>
      <c r="C55" t="s">
        <v>125</v>
      </c>
      <c r="D55" s="10">
        <v>45944</v>
      </c>
      <c r="E55" s="6" t="s">
        <v>21</v>
      </c>
      <c r="F55" s="6">
        <v>148</v>
      </c>
      <c r="G55" s="6">
        <v>15</v>
      </c>
      <c r="H55" s="6">
        <v>52</v>
      </c>
      <c r="I55" s="6" t="s">
        <v>88</v>
      </c>
      <c r="J55" s="6"/>
    </row>
    <row r="56" spans="1:10" x14ac:dyDescent="0.35">
      <c r="A56" s="6" t="s">
        <v>11</v>
      </c>
      <c r="B56" s="6" t="s">
        <v>92</v>
      </c>
      <c r="C56" t="s">
        <v>125</v>
      </c>
      <c r="D56" s="10">
        <v>45944</v>
      </c>
      <c r="E56" s="6" t="s">
        <v>21</v>
      </c>
      <c r="F56" s="6">
        <v>100</v>
      </c>
      <c r="G56" s="6">
        <v>13</v>
      </c>
      <c r="H56" s="6">
        <v>15</v>
      </c>
      <c r="I56" s="6" t="s">
        <v>88</v>
      </c>
      <c r="J56" s="6"/>
    </row>
    <row r="57" spans="1:10" x14ac:dyDescent="0.35">
      <c r="A57" s="6" t="s">
        <v>11</v>
      </c>
      <c r="B57" s="6" t="s">
        <v>92</v>
      </c>
      <c r="C57" t="s">
        <v>125</v>
      </c>
      <c r="D57" s="10">
        <v>45944</v>
      </c>
      <c r="E57" s="6" t="s">
        <v>98</v>
      </c>
      <c r="F57" s="6">
        <v>51</v>
      </c>
      <c r="G57" s="6">
        <v>4</v>
      </c>
      <c r="H57" s="6">
        <v>4</v>
      </c>
      <c r="I57" s="6" t="s">
        <v>88</v>
      </c>
      <c r="J57" s="6"/>
    </row>
    <row r="58" spans="1:10" x14ac:dyDescent="0.35">
      <c r="A58" s="6" t="s">
        <v>11</v>
      </c>
      <c r="B58" s="6" t="s">
        <v>92</v>
      </c>
      <c r="C58" t="s">
        <v>125</v>
      </c>
      <c r="D58" s="10">
        <v>45944</v>
      </c>
      <c r="E58" s="6" t="s">
        <v>97</v>
      </c>
      <c r="F58" s="6">
        <v>106</v>
      </c>
      <c r="G58" s="6">
        <v>15</v>
      </c>
      <c r="H58" s="6">
        <v>18</v>
      </c>
      <c r="I58" s="6" t="s">
        <v>88</v>
      </c>
      <c r="J58" s="6"/>
    </row>
    <row r="59" spans="1:10" x14ac:dyDescent="0.35">
      <c r="A59" s="6" t="s">
        <v>11</v>
      </c>
      <c r="B59" s="6" t="s">
        <v>92</v>
      </c>
      <c r="C59" t="s">
        <v>125</v>
      </c>
      <c r="D59" s="10">
        <v>45944</v>
      </c>
      <c r="E59" s="6" t="s">
        <v>97</v>
      </c>
      <c r="F59" s="6">
        <v>92</v>
      </c>
      <c r="G59" s="6">
        <v>14</v>
      </c>
      <c r="H59" s="6">
        <v>15</v>
      </c>
      <c r="I59" s="6" t="s">
        <v>88</v>
      </c>
      <c r="J59" s="6"/>
    </row>
    <row r="60" spans="1:10" x14ac:dyDescent="0.35">
      <c r="A60" s="6" t="s">
        <v>11</v>
      </c>
      <c r="B60" s="6" t="s">
        <v>92</v>
      </c>
      <c r="C60" t="s">
        <v>125</v>
      </c>
      <c r="D60" s="10">
        <v>45944</v>
      </c>
      <c r="E60" s="6" t="s">
        <v>97</v>
      </c>
      <c r="F60" s="6">
        <v>83</v>
      </c>
      <c r="G60" s="6">
        <v>10</v>
      </c>
      <c r="H60" s="6">
        <v>15</v>
      </c>
      <c r="I60" s="6" t="s">
        <v>88</v>
      </c>
      <c r="J60" s="6"/>
    </row>
    <row r="61" spans="1:10" x14ac:dyDescent="0.35">
      <c r="A61" s="6" t="s">
        <v>11</v>
      </c>
      <c r="B61" s="6" t="s">
        <v>92</v>
      </c>
      <c r="C61" t="s">
        <v>125</v>
      </c>
      <c r="D61" s="10">
        <v>45944</v>
      </c>
      <c r="E61" s="6" t="s">
        <v>97</v>
      </c>
      <c r="F61" s="6">
        <v>78</v>
      </c>
      <c r="G61" s="6">
        <v>6</v>
      </c>
      <c r="H61" s="6">
        <v>10</v>
      </c>
      <c r="I61" s="6" t="s">
        <v>88</v>
      </c>
      <c r="J61" s="6"/>
    </row>
    <row r="62" spans="1:10" x14ac:dyDescent="0.35">
      <c r="A62" s="6" t="s">
        <v>11</v>
      </c>
      <c r="B62" s="6" t="s">
        <v>92</v>
      </c>
      <c r="C62" t="s">
        <v>125</v>
      </c>
      <c r="D62" s="10">
        <v>45944</v>
      </c>
      <c r="E62" s="6" t="s">
        <v>90</v>
      </c>
      <c r="F62" s="6">
        <v>185</v>
      </c>
      <c r="G62" s="6">
        <v>30</v>
      </c>
      <c r="H62" s="6">
        <v>118</v>
      </c>
      <c r="I62" s="6" t="s">
        <v>88</v>
      </c>
      <c r="J62" s="6"/>
    </row>
    <row r="63" spans="1:10" x14ac:dyDescent="0.35">
      <c r="A63" s="6" t="s">
        <v>11</v>
      </c>
      <c r="B63" s="6" t="s">
        <v>92</v>
      </c>
      <c r="C63" t="s">
        <v>125</v>
      </c>
      <c r="D63" s="10">
        <v>45944</v>
      </c>
      <c r="E63" s="6" t="s">
        <v>90</v>
      </c>
      <c r="F63" s="6">
        <v>183</v>
      </c>
      <c r="G63" s="6">
        <v>25</v>
      </c>
      <c r="H63" s="6">
        <v>108</v>
      </c>
      <c r="I63" s="6" t="s">
        <v>113</v>
      </c>
      <c r="J63" s="6"/>
    </row>
    <row r="64" spans="1:10" x14ac:dyDescent="0.35">
      <c r="A64" s="6" t="s">
        <v>11</v>
      </c>
      <c r="B64" s="6" t="s">
        <v>92</v>
      </c>
      <c r="C64" t="s">
        <v>125</v>
      </c>
      <c r="D64" s="10">
        <v>45944</v>
      </c>
      <c r="E64" s="6" t="s">
        <v>90</v>
      </c>
      <c r="F64" s="6">
        <v>182</v>
      </c>
      <c r="G64" s="6">
        <v>20</v>
      </c>
      <c r="H64" s="6">
        <v>97</v>
      </c>
      <c r="I64" s="6" t="s">
        <v>88</v>
      </c>
      <c r="J64" s="6"/>
    </row>
    <row r="65" spans="1:10" x14ac:dyDescent="0.35">
      <c r="A65" s="6" t="s">
        <v>11</v>
      </c>
      <c r="B65" s="6" t="s">
        <v>92</v>
      </c>
      <c r="C65" t="s">
        <v>125</v>
      </c>
      <c r="D65" s="10">
        <v>45944</v>
      </c>
      <c r="E65" s="6" t="s">
        <v>90</v>
      </c>
      <c r="F65" s="6">
        <v>172</v>
      </c>
      <c r="G65" s="6">
        <v>30</v>
      </c>
      <c r="H65" s="6">
        <v>90</v>
      </c>
      <c r="I65" s="6" t="s">
        <v>88</v>
      </c>
      <c r="J65" s="6"/>
    </row>
    <row r="66" spans="1:10" x14ac:dyDescent="0.35">
      <c r="A66" s="6" t="s">
        <v>11</v>
      </c>
      <c r="B66" s="6" t="s">
        <v>92</v>
      </c>
      <c r="C66" t="s">
        <v>125</v>
      </c>
      <c r="D66" s="10">
        <v>45944</v>
      </c>
      <c r="E66" s="6" t="s">
        <v>90</v>
      </c>
      <c r="F66" s="6">
        <v>168</v>
      </c>
      <c r="G66" s="6">
        <v>25</v>
      </c>
      <c r="H66" s="6">
        <v>75</v>
      </c>
      <c r="I66" s="13" t="s">
        <v>88</v>
      </c>
      <c r="J66" s="6"/>
    </row>
    <row r="67" spans="1:10" x14ac:dyDescent="0.35">
      <c r="A67" s="6" t="s">
        <v>11</v>
      </c>
      <c r="B67" s="6" t="s">
        <v>92</v>
      </c>
      <c r="C67" t="s">
        <v>125</v>
      </c>
      <c r="D67" s="10">
        <v>45944</v>
      </c>
      <c r="E67" s="6" t="s">
        <v>90</v>
      </c>
      <c r="F67" s="6">
        <v>160</v>
      </c>
      <c r="G67" s="6">
        <v>30</v>
      </c>
      <c r="H67" s="6">
        <v>63</v>
      </c>
      <c r="I67" s="6" t="s">
        <v>88</v>
      </c>
      <c r="J67" s="6"/>
    </row>
    <row r="68" spans="1:10" x14ac:dyDescent="0.35">
      <c r="A68" s="6" t="s">
        <v>11</v>
      </c>
      <c r="B68" s="6" t="s">
        <v>92</v>
      </c>
      <c r="C68" t="s">
        <v>125</v>
      </c>
      <c r="D68" s="10">
        <v>45944</v>
      </c>
      <c r="E68" s="6" t="s">
        <v>90</v>
      </c>
      <c r="F68" s="6">
        <v>152</v>
      </c>
      <c r="G68" s="6">
        <v>20</v>
      </c>
      <c r="H68" s="6">
        <v>59</v>
      </c>
      <c r="I68" s="6" t="s">
        <v>88</v>
      </c>
      <c r="J68" s="6"/>
    </row>
    <row r="69" spans="1:10" x14ac:dyDescent="0.35">
      <c r="A69" s="6" t="s">
        <v>11</v>
      </c>
      <c r="B69" s="6" t="s">
        <v>92</v>
      </c>
      <c r="C69" t="s">
        <v>125</v>
      </c>
      <c r="D69" s="10">
        <v>45944</v>
      </c>
      <c r="E69" s="6" t="s">
        <v>90</v>
      </c>
      <c r="F69" s="6">
        <v>137</v>
      </c>
      <c r="G69" s="6">
        <v>20</v>
      </c>
      <c r="H69" s="6">
        <v>38</v>
      </c>
      <c r="I69" s="6" t="s">
        <v>88</v>
      </c>
      <c r="J69" s="6"/>
    </row>
    <row r="70" spans="1:10" x14ac:dyDescent="0.35">
      <c r="A70" s="6" t="s">
        <v>11</v>
      </c>
      <c r="B70" s="6" t="s">
        <v>92</v>
      </c>
      <c r="C70" t="s">
        <v>125</v>
      </c>
      <c r="D70" s="10">
        <v>45944</v>
      </c>
      <c r="E70" s="6" t="s">
        <v>29</v>
      </c>
      <c r="F70" s="6">
        <v>108</v>
      </c>
      <c r="G70" s="6">
        <v>15</v>
      </c>
      <c r="H70" s="6">
        <v>19</v>
      </c>
      <c r="I70" s="6" t="s">
        <v>88</v>
      </c>
      <c r="J70" s="6"/>
    </row>
    <row r="71" spans="1:10" x14ac:dyDescent="0.35">
      <c r="A71" s="6" t="s">
        <v>11</v>
      </c>
      <c r="B71" s="6" t="s">
        <v>92</v>
      </c>
      <c r="C71" t="s">
        <v>125</v>
      </c>
      <c r="D71" s="10">
        <v>45944</v>
      </c>
      <c r="E71" s="6" t="s">
        <v>29</v>
      </c>
      <c r="F71" s="6">
        <v>105</v>
      </c>
      <c r="G71" s="6">
        <v>15</v>
      </c>
      <c r="H71" s="6">
        <v>16</v>
      </c>
      <c r="I71" s="6" t="s">
        <v>88</v>
      </c>
      <c r="J71" s="6"/>
    </row>
    <row r="72" spans="1:10" x14ac:dyDescent="0.35">
      <c r="A72" s="6" t="s">
        <v>11</v>
      </c>
      <c r="B72" s="6" t="s">
        <v>99</v>
      </c>
      <c r="C72" t="s">
        <v>125</v>
      </c>
      <c r="D72" s="10">
        <v>45944</v>
      </c>
      <c r="E72" s="6" t="s">
        <v>90</v>
      </c>
      <c r="F72" s="6">
        <v>217</v>
      </c>
      <c r="G72" s="6">
        <v>30</v>
      </c>
      <c r="H72" s="6">
        <v>191</v>
      </c>
      <c r="I72" s="13" t="s">
        <v>88</v>
      </c>
      <c r="J72" s="6"/>
    </row>
    <row r="73" spans="1:10" x14ac:dyDescent="0.35">
      <c r="A73" s="6" t="s">
        <v>11</v>
      </c>
      <c r="B73" s="6" t="s">
        <v>99</v>
      </c>
      <c r="C73" t="s">
        <v>125</v>
      </c>
      <c r="D73" s="10">
        <v>45944</v>
      </c>
      <c r="E73" s="6" t="s">
        <v>90</v>
      </c>
      <c r="F73" s="6">
        <v>208</v>
      </c>
      <c r="G73" s="6">
        <v>30</v>
      </c>
      <c r="H73" s="6">
        <v>182</v>
      </c>
      <c r="I73" s="13" t="s">
        <v>88</v>
      </c>
      <c r="J73" s="6"/>
    </row>
    <row r="74" spans="1:10" x14ac:dyDescent="0.35">
      <c r="A74" s="6" t="s">
        <v>11</v>
      </c>
      <c r="B74" s="6" t="s">
        <v>99</v>
      </c>
      <c r="C74" t="s">
        <v>125</v>
      </c>
      <c r="D74" s="10">
        <v>45944</v>
      </c>
      <c r="E74" s="6" t="s">
        <v>90</v>
      </c>
      <c r="F74" s="6">
        <v>156</v>
      </c>
      <c r="G74" s="6">
        <v>20</v>
      </c>
      <c r="H74" s="6">
        <v>70</v>
      </c>
      <c r="I74" s="6" t="s">
        <v>88</v>
      </c>
      <c r="J74" s="6"/>
    </row>
    <row r="75" spans="1:10" x14ac:dyDescent="0.35">
      <c r="A75" s="13" t="s">
        <v>11</v>
      </c>
      <c r="B75" s="13" t="s">
        <v>93</v>
      </c>
      <c r="C75" s="13" t="s">
        <v>125</v>
      </c>
      <c r="D75" s="14">
        <v>45945</v>
      </c>
      <c r="E75" s="13" t="s">
        <v>7</v>
      </c>
      <c r="F75" s="13">
        <v>215</v>
      </c>
      <c r="G75" s="13">
        <v>30</v>
      </c>
      <c r="H75" s="13">
        <v>121</v>
      </c>
      <c r="I75" s="6" t="s">
        <v>88</v>
      </c>
      <c r="J75" s="6"/>
    </row>
    <row r="76" spans="1:10" x14ac:dyDescent="0.35">
      <c r="A76" s="6" t="s">
        <v>11</v>
      </c>
      <c r="B76" s="6" t="s">
        <v>93</v>
      </c>
      <c r="C76" t="s">
        <v>125</v>
      </c>
      <c r="D76" s="10">
        <v>45945</v>
      </c>
      <c r="E76" s="6" t="s">
        <v>7</v>
      </c>
      <c r="F76" s="6">
        <v>196</v>
      </c>
      <c r="G76" s="6">
        <v>30</v>
      </c>
      <c r="H76" s="6">
        <v>91</v>
      </c>
      <c r="I76" s="13" t="s">
        <v>88</v>
      </c>
      <c r="J76" s="6"/>
    </row>
    <row r="77" spans="1:10" x14ac:dyDescent="0.35">
      <c r="A77" s="6" t="s">
        <v>11</v>
      </c>
      <c r="B77" s="6" t="s">
        <v>93</v>
      </c>
      <c r="C77" t="s">
        <v>125</v>
      </c>
      <c r="D77" s="10">
        <v>45945</v>
      </c>
      <c r="E77" s="6" t="s">
        <v>7</v>
      </c>
      <c r="F77" s="6">
        <v>175</v>
      </c>
      <c r="G77" s="6">
        <v>25</v>
      </c>
      <c r="H77" s="6">
        <v>73</v>
      </c>
      <c r="I77" s="6" t="s">
        <v>88</v>
      </c>
      <c r="J77" s="6"/>
    </row>
    <row r="78" spans="1:10" x14ac:dyDescent="0.35">
      <c r="A78" s="6" t="s">
        <v>11</v>
      </c>
      <c r="B78" s="6" t="s">
        <v>93</v>
      </c>
      <c r="C78" t="s">
        <v>125</v>
      </c>
      <c r="D78" s="10">
        <v>45944</v>
      </c>
      <c r="E78" s="6" t="s">
        <v>13</v>
      </c>
      <c r="F78" s="6">
        <v>593</v>
      </c>
      <c r="G78" s="6">
        <v>70</v>
      </c>
      <c r="H78" s="6">
        <v>2230</v>
      </c>
      <c r="I78" s="6" t="s">
        <v>88</v>
      </c>
    </row>
    <row r="79" spans="1:10" x14ac:dyDescent="0.35">
      <c r="A79" s="6" t="s">
        <v>11</v>
      </c>
      <c r="B79" s="6" t="s">
        <v>93</v>
      </c>
      <c r="C79" t="s">
        <v>125</v>
      </c>
      <c r="D79" s="10">
        <v>45944</v>
      </c>
      <c r="E79" s="6" t="s">
        <v>13</v>
      </c>
      <c r="F79" s="6">
        <v>505</v>
      </c>
      <c r="G79" s="6">
        <v>65</v>
      </c>
      <c r="H79" s="6">
        <v>1680</v>
      </c>
      <c r="I79" s="2" t="s">
        <v>88</v>
      </c>
      <c r="J79" s="6"/>
    </row>
    <row r="80" spans="1:10" x14ac:dyDescent="0.35">
      <c r="A80" s="6" t="s">
        <v>11</v>
      </c>
      <c r="B80" s="6" t="s">
        <v>93</v>
      </c>
      <c r="C80" t="s">
        <v>125</v>
      </c>
      <c r="D80" s="10">
        <v>45945</v>
      </c>
      <c r="E80" s="6" t="s">
        <v>13</v>
      </c>
      <c r="F80" s="6">
        <v>310</v>
      </c>
      <c r="G80" s="6">
        <v>40</v>
      </c>
      <c r="H80" s="6">
        <v>336</v>
      </c>
      <c r="I80" s="6" t="s">
        <v>88</v>
      </c>
    </row>
    <row r="81" spans="1:10" x14ac:dyDescent="0.35">
      <c r="A81" s="6" t="s">
        <v>11</v>
      </c>
      <c r="B81" s="6" t="s">
        <v>93</v>
      </c>
      <c r="C81" t="s">
        <v>125</v>
      </c>
      <c r="D81" s="10">
        <v>45945</v>
      </c>
      <c r="E81" s="6" t="s">
        <v>13</v>
      </c>
      <c r="F81" s="6">
        <v>225</v>
      </c>
      <c r="G81" s="6">
        <v>25</v>
      </c>
      <c r="H81" s="6">
        <v>106</v>
      </c>
      <c r="I81" s="6" t="s">
        <v>88</v>
      </c>
      <c r="J81" s="6"/>
    </row>
    <row r="82" spans="1:10" x14ac:dyDescent="0.35">
      <c r="A82" s="6" t="s">
        <v>11</v>
      </c>
      <c r="B82" s="6" t="s">
        <v>93</v>
      </c>
      <c r="C82" t="s">
        <v>125</v>
      </c>
      <c r="D82" s="10">
        <v>45944</v>
      </c>
      <c r="E82" s="6" t="s">
        <v>95</v>
      </c>
      <c r="F82" s="6">
        <v>104</v>
      </c>
      <c r="G82" s="6">
        <v>15</v>
      </c>
      <c r="H82" s="6">
        <v>23</v>
      </c>
      <c r="I82" s="6" t="s">
        <v>88</v>
      </c>
    </row>
    <row r="83" spans="1:10" x14ac:dyDescent="0.35">
      <c r="A83" s="6" t="s">
        <v>11</v>
      </c>
      <c r="B83" s="6" t="s">
        <v>93</v>
      </c>
      <c r="C83" t="s">
        <v>125</v>
      </c>
      <c r="D83" s="10">
        <v>45944</v>
      </c>
      <c r="E83" s="6" t="s">
        <v>19</v>
      </c>
      <c r="F83" s="6">
        <v>130</v>
      </c>
      <c r="G83" s="6">
        <v>20</v>
      </c>
      <c r="H83" s="6">
        <v>55</v>
      </c>
      <c r="I83" s="6" t="s">
        <v>88</v>
      </c>
    </row>
    <row r="84" spans="1:10" x14ac:dyDescent="0.35">
      <c r="A84" s="6" t="s">
        <v>11</v>
      </c>
      <c r="B84" s="6" t="s">
        <v>93</v>
      </c>
      <c r="C84" t="s">
        <v>125</v>
      </c>
      <c r="D84" s="10">
        <v>45944</v>
      </c>
      <c r="E84" s="6" t="s">
        <v>19</v>
      </c>
      <c r="F84" s="6">
        <v>110</v>
      </c>
      <c r="G84" s="6">
        <v>15</v>
      </c>
      <c r="H84" s="6">
        <v>28</v>
      </c>
      <c r="I84" s="6" t="s">
        <v>88</v>
      </c>
      <c r="J84" s="6"/>
    </row>
    <row r="85" spans="1:10" x14ac:dyDescent="0.35">
      <c r="A85" s="6" t="s">
        <v>11</v>
      </c>
      <c r="B85" s="6" t="s">
        <v>93</v>
      </c>
      <c r="C85" t="s">
        <v>125</v>
      </c>
      <c r="D85" s="10">
        <v>45944</v>
      </c>
      <c r="E85" s="6" t="s">
        <v>19</v>
      </c>
      <c r="F85" s="6">
        <v>100</v>
      </c>
      <c r="G85" s="6">
        <v>15</v>
      </c>
      <c r="H85" s="6">
        <v>21</v>
      </c>
      <c r="I85" s="6" t="s">
        <v>88</v>
      </c>
      <c r="J85" s="6"/>
    </row>
    <row r="86" spans="1:10" x14ac:dyDescent="0.35">
      <c r="A86" s="6" t="s">
        <v>11</v>
      </c>
      <c r="B86" s="6" t="s">
        <v>93</v>
      </c>
      <c r="C86" t="s">
        <v>125</v>
      </c>
      <c r="D86" s="10">
        <v>45944</v>
      </c>
      <c r="E86" s="6" t="s">
        <v>19</v>
      </c>
      <c r="F86" s="6">
        <v>99</v>
      </c>
      <c r="G86" s="6">
        <v>15</v>
      </c>
      <c r="H86" s="6">
        <v>23</v>
      </c>
      <c r="I86" s="6" t="s">
        <v>88</v>
      </c>
      <c r="J86" s="6"/>
    </row>
    <row r="87" spans="1:10" x14ac:dyDescent="0.35">
      <c r="A87" s="6" t="s">
        <v>11</v>
      </c>
      <c r="B87" s="6" t="s">
        <v>93</v>
      </c>
      <c r="C87" t="s">
        <v>125</v>
      </c>
      <c r="D87" s="10">
        <v>45944</v>
      </c>
      <c r="E87" s="6" t="s">
        <v>19</v>
      </c>
      <c r="F87" s="6">
        <v>98</v>
      </c>
      <c r="G87" s="6">
        <v>15</v>
      </c>
      <c r="H87" s="6">
        <v>16</v>
      </c>
      <c r="I87" s="6" t="s">
        <v>88</v>
      </c>
    </row>
    <row r="88" spans="1:10" x14ac:dyDescent="0.35">
      <c r="A88" s="6" t="s">
        <v>11</v>
      </c>
      <c r="B88" s="6" t="s">
        <v>93</v>
      </c>
      <c r="C88" t="s">
        <v>125</v>
      </c>
      <c r="D88" s="10">
        <v>45944</v>
      </c>
      <c r="E88" s="6" t="s">
        <v>19</v>
      </c>
      <c r="F88" s="6">
        <v>94</v>
      </c>
      <c r="G88" s="6">
        <v>15</v>
      </c>
      <c r="H88" s="6">
        <v>19</v>
      </c>
      <c r="I88" s="6" t="s">
        <v>88</v>
      </c>
      <c r="J88" s="6" t="s">
        <v>78</v>
      </c>
    </row>
    <row r="89" spans="1:10" x14ac:dyDescent="0.35">
      <c r="A89" s="6" t="s">
        <v>11</v>
      </c>
      <c r="B89" s="6" t="s">
        <v>93</v>
      </c>
      <c r="C89" t="s">
        <v>125</v>
      </c>
      <c r="D89" s="10">
        <v>45944</v>
      </c>
      <c r="E89" s="6" t="s">
        <v>19</v>
      </c>
      <c r="F89" s="6">
        <v>92</v>
      </c>
      <c r="G89" s="6">
        <v>18</v>
      </c>
      <c r="H89" s="6">
        <v>25</v>
      </c>
      <c r="I89" s="13" t="s">
        <v>88</v>
      </c>
      <c r="J89" s="6"/>
    </row>
    <row r="90" spans="1:10" x14ac:dyDescent="0.35">
      <c r="A90" s="13" t="s">
        <v>11</v>
      </c>
      <c r="B90" s="13" t="s">
        <v>93</v>
      </c>
      <c r="C90" s="13" t="s">
        <v>125</v>
      </c>
      <c r="D90" s="14">
        <v>45944</v>
      </c>
      <c r="E90" s="13" t="s">
        <v>21</v>
      </c>
      <c r="F90" s="13">
        <v>438</v>
      </c>
      <c r="G90" s="13">
        <v>65</v>
      </c>
      <c r="H90" s="13">
        <v>1670</v>
      </c>
      <c r="I90" s="6" t="s">
        <v>88</v>
      </c>
      <c r="J90" s="2"/>
    </row>
    <row r="91" spans="1:10" x14ac:dyDescent="0.35">
      <c r="A91" s="6" t="s">
        <v>11</v>
      </c>
      <c r="B91" s="6" t="s">
        <v>93</v>
      </c>
      <c r="C91" t="s">
        <v>125</v>
      </c>
      <c r="D91" s="10">
        <v>45944</v>
      </c>
      <c r="E91" s="6" t="s">
        <v>21</v>
      </c>
      <c r="F91" s="6">
        <v>424</v>
      </c>
      <c r="G91" s="6">
        <v>62</v>
      </c>
      <c r="H91" s="6">
        <v>1530</v>
      </c>
      <c r="I91" s="6" t="s">
        <v>88</v>
      </c>
    </row>
    <row r="92" spans="1:10" x14ac:dyDescent="0.35">
      <c r="A92" s="6" t="s">
        <v>11</v>
      </c>
      <c r="B92" s="6" t="s">
        <v>93</v>
      </c>
      <c r="C92" t="s">
        <v>125</v>
      </c>
      <c r="D92" s="10">
        <v>45944</v>
      </c>
      <c r="E92" s="6" t="s">
        <v>21</v>
      </c>
      <c r="F92" s="6">
        <v>156</v>
      </c>
      <c r="G92" s="6">
        <v>20</v>
      </c>
      <c r="H92" s="6">
        <v>62</v>
      </c>
      <c r="I92" s="6" t="s">
        <v>88</v>
      </c>
    </row>
    <row r="93" spans="1:10" x14ac:dyDescent="0.35">
      <c r="A93" s="6" t="s">
        <v>11</v>
      </c>
      <c r="B93" s="6" t="s">
        <v>93</v>
      </c>
      <c r="C93" t="s">
        <v>125</v>
      </c>
      <c r="D93" s="10">
        <v>45944</v>
      </c>
      <c r="E93" s="6" t="s">
        <v>21</v>
      </c>
      <c r="F93" s="6">
        <v>130</v>
      </c>
      <c r="G93" s="6">
        <v>15</v>
      </c>
      <c r="H93" s="6">
        <v>34</v>
      </c>
      <c r="I93" s="6" t="s">
        <v>88</v>
      </c>
      <c r="J93" s="6"/>
    </row>
    <row r="94" spans="1:10" x14ac:dyDescent="0.35">
      <c r="A94" s="6" t="s">
        <v>11</v>
      </c>
      <c r="B94" s="6" t="s">
        <v>93</v>
      </c>
      <c r="C94" t="s">
        <v>125</v>
      </c>
      <c r="D94" s="10">
        <v>45944</v>
      </c>
      <c r="E94" s="6" t="s">
        <v>21</v>
      </c>
      <c r="F94" s="6">
        <v>130</v>
      </c>
      <c r="G94" s="6">
        <v>12</v>
      </c>
      <c r="H94" s="6">
        <v>34</v>
      </c>
      <c r="I94" s="6" t="s">
        <v>88</v>
      </c>
    </row>
    <row r="95" spans="1:10" x14ac:dyDescent="0.35">
      <c r="A95" s="6" t="s">
        <v>11</v>
      </c>
      <c r="B95" s="6" t="s">
        <v>93</v>
      </c>
      <c r="C95" t="s">
        <v>125</v>
      </c>
      <c r="D95" s="10">
        <v>45944</v>
      </c>
      <c r="E95" s="6" t="s">
        <v>21</v>
      </c>
      <c r="F95" s="6">
        <v>126</v>
      </c>
      <c r="G95" s="6">
        <v>10</v>
      </c>
      <c r="H95" s="6">
        <v>28</v>
      </c>
      <c r="I95" s="6" t="s">
        <v>88</v>
      </c>
      <c r="J95" s="6"/>
    </row>
    <row r="96" spans="1:10" x14ac:dyDescent="0.35">
      <c r="A96" s="6" t="s">
        <v>11</v>
      </c>
      <c r="B96" s="6" t="s">
        <v>93</v>
      </c>
      <c r="C96" t="s">
        <v>125</v>
      </c>
      <c r="D96" s="10">
        <v>45945</v>
      </c>
      <c r="E96" s="6" t="s">
        <v>21</v>
      </c>
      <c r="F96" s="6">
        <v>123</v>
      </c>
      <c r="G96" s="6">
        <v>10</v>
      </c>
      <c r="H96" s="6">
        <v>25</v>
      </c>
      <c r="I96" s="6" t="s">
        <v>88</v>
      </c>
    </row>
    <row r="97" spans="1:10" x14ac:dyDescent="0.35">
      <c r="A97" s="6" t="s">
        <v>11</v>
      </c>
      <c r="B97" s="6" t="s">
        <v>93</v>
      </c>
      <c r="C97" t="s">
        <v>125</v>
      </c>
      <c r="D97" s="10">
        <v>45945</v>
      </c>
      <c r="E97" s="6" t="s">
        <v>21</v>
      </c>
      <c r="F97" s="6">
        <v>112</v>
      </c>
      <c r="G97" s="6">
        <v>10</v>
      </c>
      <c r="H97" s="6">
        <v>21</v>
      </c>
      <c r="I97" s="6" t="s">
        <v>88</v>
      </c>
      <c r="J97" s="6"/>
    </row>
    <row r="98" spans="1:10" x14ac:dyDescent="0.35">
      <c r="A98" s="6" t="s">
        <v>11</v>
      </c>
      <c r="B98" s="6" t="s">
        <v>93</v>
      </c>
      <c r="C98" t="s">
        <v>125</v>
      </c>
      <c r="D98" s="10">
        <v>45944</v>
      </c>
      <c r="E98" s="6" t="s">
        <v>21</v>
      </c>
      <c r="F98" s="6">
        <v>107</v>
      </c>
      <c r="G98" s="6">
        <v>15</v>
      </c>
      <c r="H98" s="6">
        <v>27</v>
      </c>
      <c r="I98" s="6" t="s">
        <v>88</v>
      </c>
      <c r="J98" s="6"/>
    </row>
    <row r="99" spans="1:10" x14ac:dyDescent="0.35">
      <c r="A99" s="6" t="s">
        <v>11</v>
      </c>
      <c r="B99" s="6" t="s">
        <v>93</v>
      </c>
      <c r="C99" t="s">
        <v>125</v>
      </c>
      <c r="D99" s="10">
        <v>45944</v>
      </c>
      <c r="E99" s="6" t="s">
        <v>21</v>
      </c>
      <c r="F99" s="6">
        <v>107</v>
      </c>
      <c r="G99" s="6">
        <v>12</v>
      </c>
      <c r="H99" s="6">
        <v>17</v>
      </c>
      <c r="I99" s="6" t="s">
        <v>88</v>
      </c>
      <c r="J99" s="6"/>
    </row>
    <row r="100" spans="1:10" x14ac:dyDescent="0.35">
      <c r="A100" s="6" t="s">
        <v>11</v>
      </c>
      <c r="B100" s="6" t="s">
        <v>93</v>
      </c>
      <c r="C100" t="s">
        <v>125</v>
      </c>
      <c r="D100" s="10">
        <v>45945</v>
      </c>
      <c r="E100" s="6" t="s">
        <v>21</v>
      </c>
      <c r="F100" s="6">
        <v>106</v>
      </c>
      <c r="G100" s="6">
        <v>18</v>
      </c>
      <c r="H100" s="6">
        <v>10</v>
      </c>
      <c r="I100" s="6" t="s">
        <v>88</v>
      </c>
      <c r="J100" s="6"/>
    </row>
    <row r="101" spans="1:10" x14ac:dyDescent="0.35">
      <c r="A101" s="6" t="s">
        <v>11</v>
      </c>
      <c r="B101" s="6" t="s">
        <v>93</v>
      </c>
      <c r="C101" t="s">
        <v>125</v>
      </c>
      <c r="D101" s="10">
        <v>45944</v>
      </c>
      <c r="E101" s="6" t="s">
        <v>21</v>
      </c>
      <c r="F101" s="6">
        <v>106</v>
      </c>
      <c r="G101" s="6">
        <v>15</v>
      </c>
      <c r="H101" s="6">
        <v>25</v>
      </c>
      <c r="I101" s="6" t="s">
        <v>88</v>
      </c>
      <c r="J101" s="6"/>
    </row>
    <row r="102" spans="1:10" x14ac:dyDescent="0.35">
      <c r="A102" s="6" t="s">
        <v>11</v>
      </c>
      <c r="B102" s="6" t="s">
        <v>93</v>
      </c>
      <c r="C102" t="s">
        <v>125</v>
      </c>
      <c r="D102" s="10">
        <v>45945</v>
      </c>
      <c r="E102" s="6" t="s">
        <v>21</v>
      </c>
      <c r="F102" s="6">
        <v>102</v>
      </c>
      <c r="G102" s="6">
        <v>10</v>
      </c>
      <c r="H102" s="6">
        <v>16</v>
      </c>
      <c r="I102" s="6" t="s">
        <v>88</v>
      </c>
    </row>
    <row r="103" spans="1:10" x14ac:dyDescent="0.35">
      <c r="A103" s="6" t="s">
        <v>11</v>
      </c>
      <c r="B103" s="6" t="s">
        <v>93</v>
      </c>
      <c r="C103" t="s">
        <v>125</v>
      </c>
      <c r="D103" s="10">
        <v>45944</v>
      </c>
      <c r="E103" s="6" t="s">
        <v>21</v>
      </c>
      <c r="F103" s="6">
        <v>99</v>
      </c>
      <c r="G103" s="6">
        <v>10</v>
      </c>
      <c r="H103" s="6">
        <v>13</v>
      </c>
      <c r="I103" s="6" t="s">
        <v>88</v>
      </c>
      <c r="J103" s="6"/>
    </row>
    <row r="104" spans="1:10" x14ac:dyDescent="0.35">
      <c r="A104" s="6" t="s">
        <v>11</v>
      </c>
      <c r="B104" s="6" t="s">
        <v>93</v>
      </c>
      <c r="C104" t="s">
        <v>125</v>
      </c>
      <c r="D104" s="10">
        <v>45944</v>
      </c>
      <c r="E104" s="6" t="s">
        <v>21</v>
      </c>
      <c r="F104" s="6">
        <v>96</v>
      </c>
      <c r="G104" s="6">
        <v>10</v>
      </c>
      <c r="H104" s="6">
        <v>13</v>
      </c>
      <c r="I104" s="6" t="s">
        <v>88</v>
      </c>
      <c r="J104" s="6"/>
    </row>
    <row r="105" spans="1:10" x14ac:dyDescent="0.35">
      <c r="A105" s="6" t="s">
        <v>11</v>
      </c>
      <c r="B105" s="6" t="s">
        <v>93</v>
      </c>
      <c r="C105" t="s">
        <v>125</v>
      </c>
      <c r="D105" s="10">
        <v>45944</v>
      </c>
      <c r="E105" s="6" t="s">
        <v>21</v>
      </c>
      <c r="F105" s="6">
        <v>95</v>
      </c>
      <c r="G105" s="6">
        <v>10</v>
      </c>
      <c r="H105" s="6">
        <v>10</v>
      </c>
      <c r="I105" s="6" t="s">
        <v>88</v>
      </c>
      <c r="J105" s="6"/>
    </row>
    <row r="106" spans="1:10" x14ac:dyDescent="0.35">
      <c r="A106" s="6" t="s">
        <v>11</v>
      </c>
      <c r="B106" s="6" t="s">
        <v>93</v>
      </c>
      <c r="C106" t="s">
        <v>125</v>
      </c>
      <c r="D106" s="10">
        <v>45944</v>
      </c>
      <c r="E106" s="6" t="s">
        <v>21</v>
      </c>
      <c r="F106" s="6">
        <v>92</v>
      </c>
      <c r="G106" s="6">
        <v>10</v>
      </c>
      <c r="H106" s="6">
        <v>10</v>
      </c>
      <c r="I106" s="6" t="s">
        <v>88</v>
      </c>
      <c r="J106" s="6"/>
    </row>
    <row r="107" spans="1:10" x14ac:dyDescent="0.35">
      <c r="A107" s="6" t="s">
        <v>11</v>
      </c>
      <c r="B107" s="6" t="s">
        <v>93</v>
      </c>
      <c r="C107" t="s">
        <v>125</v>
      </c>
      <c r="D107" s="10">
        <v>45944</v>
      </c>
      <c r="E107" s="6" t="s">
        <v>21</v>
      </c>
      <c r="F107" s="6">
        <v>92</v>
      </c>
      <c r="G107" s="6">
        <v>10</v>
      </c>
      <c r="H107" s="6">
        <v>12</v>
      </c>
      <c r="I107" s="6" t="s">
        <v>88</v>
      </c>
      <c r="J107" s="6"/>
    </row>
    <row r="108" spans="1:10" x14ac:dyDescent="0.35">
      <c r="A108" s="6" t="s">
        <v>11</v>
      </c>
      <c r="B108" s="6" t="s">
        <v>93</v>
      </c>
      <c r="C108" t="s">
        <v>125</v>
      </c>
      <c r="D108" s="10">
        <v>45944</v>
      </c>
      <c r="E108" s="6" t="s">
        <v>21</v>
      </c>
      <c r="F108" s="6">
        <v>86</v>
      </c>
      <c r="G108" s="6">
        <v>8</v>
      </c>
      <c r="H108" s="6">
        <v>10</v>
      </c>
      <c r="I108" s="6" t="s">
        <v>88</v>
      </c>
      <c r="J108" s="6"/>
    </row>
    <row r="109" spans="1:10" x14ac:dyDescent="0.35">
      <c r="A109" s="6" t="s">
        <v>11</v>
      </c>
      <c r="B109" s="6" t="s">
        <v>93</v>
      </c>
      <c r="C109" t="s">
        <v>125</v>
      </c>
      <c r="D109" s="10">
        <v>45944</v>
      </c>
      <c r="E109" s="6" t="s">
        <v>24</v>
      </c>
      <c r="F109" s="6">
        <v>241</v>
      </c>
      <c r="G109" s="6">
        <v>33</v>
      </c>
      <c r="H109" s="6">
        <v>312</v>
      </c>
      <c r="I109" s="13" t="s">
        <v>88</v>
      </c>
      <c r="J109" s="6"/>
    </row>
    <row r="110" spans="1:10" x14ac:dyDescent="0.35">
      <c r="A110" s="6" t="s">
        <v>11</v>
      </c>
      <c r="B110" s="6" t="s">
        <v>93</v>
      </c>
      <c r="C110" t="s">
        <v>125</v>
      </c>
      <c r="D110" s="10">
        <v>45944</v>
      </c>
      <c r="E110" s="6" t="s">
        <v>97</v>
      </c>
      <c r="F110" s="6">
        <v>80</v>
      </c>
      <c r="G110" s="6">
        <v>7</v>
      </c>
      <c r="H110" s="6">
        <v>8</v>
      </c>
      <c r="I110" s="6" t="s">
        <v>88</v>
      </c>
      <c r="J110" s="6"/>
    </row>
    <row r="111" spans="1:10" x14ac:dyDescent="0.35">
      <c r="A111" s="6" t="s">
        <v>11</v>
      </c>
      <c r="B111" s="6" t="s">
        <v>93</v>
      </c>
      <c r="C111" t="s">
        <v>125</v>
      </c>
      <c r="D111" s="10">
        <v>45944</v>
      </c>
      <c r="E111" s="6" t="s">
        <v>90</v>
      </c>
      <c r="F111" s="6">
        <v>192</v>
      </c>
      <c r="G111" s="6">
        <v>27</v>
      </c>
      <c r="H111" s="6">
        <v>130</v>
      </c>
      <c r="I111" s="6" t="s">
        <v>88</v>
      </c>
      <c r="J111" s="6"/>
    </row>
    <row r="112" spans="1:10" x14ac:dyDescent="0.35">
      <c r="A112" s="6" t="s">
        <v>11</v>
      </c>
      <c r="B112" s="6" t="s">
        <v>93</v>
      </c>
      <c r="C112" t="s">
        <v>125</v>
      </c>
      <c r="D112" s="10">
        <v>45944</v>
      </c>
      <c r="E112" s="6" t="s">
        <v>90</v>
      </c>
      <c r="F112" s="6">
        <v>190</v>
      </c>
      <c r="G112" s="6">
        <v>25</v>
      </c>
      <c r="H112" s="6">
        <v>133</v>
      </c>
      <c r="I112" s="6" t="s">
        <v>88</v>
      </c>
      <c r="J112" s="6"/>
    </row>
    <row r="113" spans="1:10" x14ac:dyDescent="0.35">
      <c r="A113" s="6" t="s">
        <v>11</v>
      </c>
      <c r="B113" s="6" t="s">
        <v>93</v>
      </c>
      <c r="C113" t="s">
        <v>125</v>
      </c>
      <c r="D113" s="10">
        <v>45944</v>
      </c>
      <c r="E113" s="6" t="s">
        <v>90</v>
      </c>
      <c r="F113" s="6">
        <v>186</v>
      </c>
      <c r="G113" s="6">
        <v>25</v>
      </c>
      <c r="H113" s="6">
        <v>63</v>
      </c>
      <c r="I113" s="6" t="s">
        <v>113</v>
      </c>
      <c r="J113" s="6"/>
    </row>
    <row r="114" spans="1:10" x14ac:dyDescent="0.35">
      <c r="A114" s="6" t="s">
        <v>11</v>
      </c>
      <c r="B114" s="6" t="s">
        <v>93</v>
      </c>
      <c r="C114" t="s">
        <v>125</v>
      </c>
      <c r="D114" s="10">
        <v>45944</v>
      </c>
      <c r="E114" s="6" t="s">
        <v>90</v>
      </c>
      <c r="F114" s="6">
        <v>179</v>
      </c>
      <c r="G114" s="6">
        <v>30</v>
      </c>
      <c r="H114" s="6">
        <v>104</v>
      </c>
      <c r="I114" s="6" t="s">
        <v>88</v>
      </c>
      <c r="J114" s="6"/>
    </row>
    <row r="115" spans="1:10" x14ac:dyDescent="0.35">
      <c r="A115" s="6" t="s">
        <v>11</v>
      </c>
      <c r="B115" s="6" t="s">
        <v>93</v>
      </c>
      <c r="C115" t="s">
        <v>125</v>
      </c>
      <c r="D115" s="10">
        <v>45944</v>
      </c>
      <c r="E115" s="6" t="s">
        <v>90</v>
      </c>
      <c r="F115" s="6">
        <v>175</v>
      </c>
      <c r="G115" s="6">
        <v>20</v>
      </c>
      <c r="H115" s="6">
        <v>83</v>
      </c>
      <c r="I115" s="6" t="s">
        <v>88</v>
      </c>
      <c r="J115" s="6"/>
    </row>
    <row r="116" spans="1:10" x14ac:dyDescent="0.35">
      <c r="A116" s="6" t="s">
        <v>11</v>
      </c>
      <c r="B116" s="6" t="s">
        <v>93</v>
      </c>
      <c r="C116" t="s">
        <v>125</v>
      </c>
      <c r="D116" s="10">
        <v>45944</v>
      </c>
      <c r="E116" s="6" t="s">
        <v>90</v>
      </c>
      <c r="F116" s="6">
        <v>170</v>
      </c>
      <c r="G116" s="6">
        <v>20</v>
      </c>
      <c r="H116" s="6">
        <v>83</v>
      </c>
      <c r="I116" s="6" t="s">
        <v>88</v>
      </c>
      <c r="J116" s="6"/>
    </row>
    <row r="117" spans="1:10" x14ac:dyDescent="0.35">
      <c r="A117" s="6" t="s">
        <v>11</v>
      </c>
      <c r="B117" s="6" t="s">
        <v>93</v>
      </c>
      <c r="C117" t="s">
        <v>125</v>
      </c>
      <c r="D117" s="10">
        <v>45944</v>
      </c>
      <c r="E117" s="6" t="s">
        <v>90</v>
      </c>
      <c r="F117" s="6">
        <v>165</v>
      </c>
      <c r="G117" s="6">
        <v>20</v>
      </c>
      <c r="H117" s="6">
        <v>75</v>
      </c>
      <c r="I117" s="6" t="s">
        <v>88</v>
      </c>
    </row>
    <row r="118" spans="1:10" x14ac:dyDescent="0.35">
      <c r="A118" s="6" t="s">
        <v>11</v>
      </c>
      <c r="B118" s="6" t="s">
        <v>93</v>
      </c>
      <c r="C118" t="s">
        <v>125</v>
      </c>
      <c r="D118" s="10">
        <v>45944</v>
      </c>
      <c r="E118" s="6" t="s">
        <v>90</v>
      </c>
      <c r="F118" s="6">
        <v>164</v>
      </c>
      <c r="G118" s="6">
        <v>20</v>
      </c>
      <c r="H118" s="6">
        <v>68</v>
      </c>
      <c r="I118" s="6" t="s">
        <v>88</v>
      </c>
    </row>
    <row r="119" spans="1:10" x14ac:dyDescent="0.35">
      <c r="A119" s="6" t="s">
        <v>11</v>
      </c>
      <c r="B119" s="6" t="s">
        <v>93</v>
      </c>
      <c r="C119" t="s">
        <v>125</v>
      </c>
      <c r="D119" s="10">
        <v>45944</v>
      </c>
      <c r="E119" s="6" t="s">
        <v>90</v>
      </c>
      <c r="F119" s="6">
        <v>164</v>
      </c>
      <c r="G119" s="6">
        <v>20</v>
      </c>
      <c r="H119" s="6">
        <v>68</v>
      </c>
      <c r="I119" s="6" t="s">
        <v>88</v>
      </c>
      <c r="J119" s="6"/>
    </row>
    <row r="120" spans="1:10" x14ac:dyDescent="0.35">
      <c r="A120" s="13" t="s">
        <v>11</v>
      </c>
      <c r="B120" s="13" t="s">
        <v>93</v>
      </c>
      <c r="C120" s="13" t="s">
        <v>125</v>
      </c>
      <c r="D120" s="14">
        <v>45944</v>
      </c>
      <c r="E120" s="13" t="s">
        <v>90</v>
      </c>
      <c r="F120" s="13">
        <v>160</v>
      </c>
      <c r="G120" s="13">
        <v>20</v>
      </c>
      <c r="H120" s="13">
        <v>71</v>
      </c>
      <c r="I120" s="6" t="s">
        <v>88</v>
      </c>
      <c r="J120" s="6"/>
    </row>
    <row r="121" spans="1:10" x14ac:dyDescent="0.35">
      <c r="A121" s="6" t="s">
        <v>11</v>
      </c>
      <c r="B121" s="6" t="s">
        <v>93</v>
      </c>
      <c r="C121" t="s">
        <v>125</v>
      </c>
      <c r="D121" s="10">
        <v>45944</v>
      </c>
      <c r="E121" s="6" t="s">
        <v>90</v>
      </c>
      <c r="F121" s="6">
        <v>159</v>
      </c>
      <c r="G121" s="6">
        <v>20</v>
      </c>
      <c r="H121" s="6">
        <v>60</v>
      </c>
      <c r="I121" s="6" t="s">
        <v>88</v>
      </c>
      <c r="J121" s="6"/>
    </row>
    <row r="122" spans="1:10" x14ac:dyDescent="0.35">
      <c r="A122" s="6" t="s">
        <v>11</v>
      </c>
      <c r="B122" s="6" t="s">
        <v>93</v>
      </c>
      <c r="C122" t="s">
        <v>125</v>
      </c>
      <c r="D122" s="10">
        <v>45944</v>
      </c>
      <c r="E122" s="6" t="s">
        <v>90</v>
      </c>
      <c r="F122" s="6">
        <v>144</v>
      </c>
      <c r="G122" s="6">
        <v>20</v>
      </c>
      <c r="H122" s="6">
        <v>43</v>
      </c>
      <c r="I122" s="6" t="s">
        <v>88</v>
      </c>
    </row>
    <row r="123" spans="1:10" x14ac:dyDescent="0.35">
      <c r="A123" s="6" t="s">
        <v>11</v>
      </c>
      <c r="B123" s="6" t="s">
        <v>93</v>
      </c>
      <c r="C123" t="s">
        <v>125</v>
      </c>
      <c r="D123" s="10">
        <v>45944</v>
      </c>
      <c r="E123" s="6" t="s">
        <v>29</v>
      </c>
      <c r="F123" s="6">
        <v>115</v>
      </c>
      <c r="G123" s="6">
        <v>15</v>
      </c>
      <c r="H123" s="6">
        <v>19</v>
      </c>
      <c r="I123" s="6" t="s">
        <v>88</v>
      </c>
      <c r="J123" s="6"/>
    </row>
    <row r="124" spans="1:10" x14ac:dyDescent="0.35">
      <c r="A124" s="6" t="s">
        <v>11</v>
      </c>
      <c r="B124" s="6" t="s">
        <v>93</v>
      </c>
      <c r="C124" t="s">
        <v>125</v>
      </c>
      <c r="D124" s="10">
        <v>45944</v>
      </c>
      <c r="E124" s="6" t="s">
        <v>29</v>
      </c>
      <c r="F124" s="6">
        <v>108</v>
      </c>
      <c r="G124" s="6">
        <v>15</v>
      </c>
      <c r="H124" s="6">
        <v>16</v>
      </c>
      <c r="I124" s="6" t="s">
        <v>88</v>
      </c>
    </row>
    <row r="125" spans="1:10" x14ac:dyDescent="0.35">
      <c r="A125" s="6" t="s">
        <v>11</v>
      </c>
      <c r="B125" s="6" t="s">
        <v>93</v>
      </c>
      <c r="C125" t="s">
        <v>125</v>
      </c>
      <c r="D125" s="10">
        <v>45944</v>
      </c>
      <c r="E125" s="6" t="s">
        <v>29</v>
      </c>
      <c r="F125" s="6">
        <v>107</v>
      </c>
      <c r="G125" s="6">
        <v>15</v>
      </c>
      <c r="H125" s="6">
        <v>39</v>
      </c>
      <c r="I125" s="6" t="s">
        <v>88</v>
      </c>
      <c r="J125" s="6"/>
    </row>
    <row r="126" spans="1:10" x14ac:dyDescent="0.35">
      <c r="A126" s="6" t="s">
        <v>11</v>
      </c>
      <c r="B126" s="6" t="s">
        <v>93</v>
      </c>
      <c r="C126" t="s">
        <v>125</v>
      </c>
      <c r="D126" s="10">
        <v>45944</v>
      </c>
      <c r="E126" s="6" t="s">
        <v>29</v>
      </c>
      <c r="F126" s="6">
        <v>94</v>
      </c>
      <c r="G126" s="6">
        <v>8</v>
      </c>
      <c r="H126" s="6">
        <v>10</v>
      </c>
      <c r="I126" s="6" t="s">
        <v>88</v>
      </c>
    </row>
    <row r="127" spans="1:10" x14ac:dyDescent="0.35">
      <c r="A127" s="6" t="s">
        <v>11</v>
      </c>
      <c r="B127" s="6" t="s">
        <v>93</v>
      </c>
      <c r="C127" t="s">
        <v>125</v>
      </c>
      <c r="D127" s="10">
        <v>45944</v>
      </c>
      <c r="E127" s="6" t="s">
        <v>29</v>
      </c>
      <c r="F127" s="6">
        <v>93</v>
      </c>
      <c r="G127" s="6">
        <v>8</v>
      </c>
      <c r="H127" s="6">
        <v>10</v>
      </c>
      <c r="I127" s="6" t="s">
        <v>88</v>
      </c>
      <c r="J127" s="6"/>
    </row>
    <row r="128" spans="1:10" x14ac:dyDescent="0.35">
      <c r="A128" s="6" t="s">
        <v>11</v>
      </c>
      <c r="B128" s="6" t="s">
        <v>93</v>
      </c>
      <c r="C128" t="s">
        <v>125</v>
      </c>
      <c r="D128" s="10">
        <v>45944</v>
      </c>
      <c r="E128" s="6" t="s">
        <v>29</v>
      </c>
      <c r="F128" s="6">
        <v>84</v>
      </c>
      <c r="G128" s="6">
        <v>10</v>
      </c>
      <c r="H128" s="6">
        <v>10</v>
      </c>
      <c r="I128" s="6" t="s">
        <v>88</v>
      </c>
      <c r="J128" s="6"/>
    </row>
    <row r="129" spans="1:10" x14ac:dyDescent="0.35">
      <c r="A129" s="6" t="s">
        <v>11</v>
      </c>
      <c r="B129" s="6" t="s">
        <v>93</v>
      </c>
      <c r="C129" t="s">
        <v>125</v>
      </c>
      <c r="D129" s="10">
        <v>45944</v>
      </c>
      <c r="E129" s="6" t="s">
        <v>29</v>
      </c>
      <c r="F129" s="6">
        <v>84</v>
      </c>
      <c r="G129" s="6">
        <v>7</v>
      </c>
      <c r="H129" s="6">
        <v>10</v>
      </c>
      <c r="I129" s="6" t="s">
        <v>88</v>
      </c>
      <c r="J129" s="6"/>
    </row>
    <row r="130" spans="1:10" x14ac:dyDescent="0.35">
      <c r="A130" s="6" t="s">
        <v>11</v>
      </c>
      <c r="B130" s="6" t="s">
        <v>101</v>
      </c>
      <c r="C130" t="s">
        <v>125</v>
      </c>
      <c r="D130" s="10">
        <v>45944</v>
      </c>
      <c r="E130" s="6" t="s">
        <v>7</v>
      </c>
      <c r="F130" s="6">
        <v>270</v>
      </c>
      <c r="G130" s="6">
        <v>45</v>
      </c>
      <c r="H130" s="6">
        <v>291</v>
      </c>
      <c r="I130" s="6" t="s">
        <v>88</v>
      </c>
      <c r="J130" s="6"/>
    </row>
    <row r="131" spans="1:10" x14ac:dyDescent="0.35">
      <c r="A131" s="6" t="s">
        <v>11</v>
      </c>
      <c r="B131" s="6" t="s">
        <v>101</v>
      </c>
      <c r="C131" t="s">
        <v>125</v>
      </c>
      <c r="D131" s="10">
        <v>45944</v>
      </c>
      <c r="E131" s="6" t="s">
        <v>97</v>
      </c>
      <c r="F131" s="6">
        <v>126</v>
      </c>
      <c r="G131" s="6">
        <v>22</v>
      </c>
      <c r="H131" s="6">
        <v>20</v>
      </c>
      <c r="I131" s="6" t="s">
        <v>88</v>
      </c>
      <c r="J131" s="6"/>
    </row>
    <row r="132" spans="1:10" x14ac:dyDescent="0.35">
      <c r="A132" s="6" t="s">
        <v>11</v>
      </c>
      <c r="B132" s="6" t="s">
        <v>101</v>
      </c>
      <c r="C132" t="s">
        <v>125</v>
      </c>
      <c r="D132" s="10">
        <v>45944</v>
      </c>
      <c r="E132" s="6" t="s">
        <v>90</v>
      </c>
      <c r="F132" s="6">
        <v>184</v>
      </c>
      <c r="G132" s="6">
        <v>25</v>
      </c>
      <c r="H132" s="6">
        <v>115</v>
      </c>
      <c r="I132" s="6" t="s">
        <v>88</v>
      </c>
      <c r="J132" s="6"/>
    </row>
    <row r="133" spans="1:10" x14ac:dyDescent="0.35">
      <c r="A133" s="6" t="s">
        <v>11</v>
      </c>
      <c r="B133" s="6" t="s">
        <v>101</v>
      </c>
      <c r="C133" t="s">
        <v>125</v>
      </c>
      <c r="D133" s="10">
        <v>45944</v>
      </c>
      <c r="E133" s="6" t="s">
        <v>90</v>
      </c>
      <c r="F133" s="6">
        <v>163</v>
      </c>
      <c r="G133" s="6">
        <v>20</v>
      </c>
      <c r="H133" s="6">
        <v>57</v>
      </c>
      <c r="I133" s="6" t="s">
        <v>88</v>
      </c>
      <c r="J133" s="6"/>
    </row>
    <row r="134" spans="1:10" x14ac:dyDescent="0.35">
      <c r="A134" s="6" t="s">
        <v>11</v>
      </c>
      <c r="B134" s="6" t="s">
        <v>101</v>
      </c>
      <c r="C134" t="s">
        <v>125</v>
      </c>
      <c r="D134" s="10">
        <v>45944</v>
      </c>
      <c r="E134" s="6" t="s">
        <v>90</v>
      </c>
      <c r="F134" s="6">
        <v>156</v>
      </c>
      <c r="G134" s="6">
        <v>20</v>
      </c>
      <c r="H134" s="6">
        <v>55</v>
      </c>
      <c r="I134" s="6" t="s">
        <v>88</v>
      </c>
    </row>
    <row r="135" spans="1:10" x14ac:dyDescent="0.35">
      <c r="A135" s="6" t="s">
        <v>11</v>
      </c>
      <c r="B135" s="6" t="s">
        <v>101</v>
      </c>
      <c r="C135" t="s">
        <v>125</v>
      </c>
      <c r="D135" s="10">
        <v>45944</v>
      </c>
      <c r="E135" s="6" t="s">
        <v>90</v>
      </c>
      <c r="F135" s="6">
        <v>154</v>
      </c>
      <c r="G135" s="6">
        <v>20</v>
      </c>
      <c r="H135" s="6">
        <v>63</v>
      </c>
      <c r="I135" s="6" t="s">
        <v>88</v>
      </c>
      <c r="J135" s="6"/>
    </row>
    <row r="136" spans="1:10" x14ac:dyDescent="0.35">
      <c r="A136" s="6" t="s">
        <v>11</v>
      </c>
      <c r="B136" s="6" t="s">
        <v>100</v>
      </c>
      <c r="C136" t="s">
        <v>125</v>
      </c>
      <c r="D136" s="10">
        <v>45944</v>
      </c>
      <c r="E136" s="6" t="s">
        <v>7</v>
      </c>
      <c r="F136" s="6">
        <v>290</v>
      </c>
      <c r="G136" s="6">
        <v>50</v>
      </c>
      <c r="H136" s="6">
        <v>360</v>
      </c>
      <c r="I136" s="6" t="s">
        <v>88</v>
      </c>
      <c r="J136" s="6"/>
    </row>
    <row r="137" spans="1:10" x14ac:dyDescent="0.35">
      <c r="A137" s="6" t="s">
        <v>11</v>
      </c>
      <c r="B137" s="6" t="s">
        <v>100</v>
      </c>
      <c r="C137" t="s">
        <v>125</v>
      </c>
      <c r="D137" s="10">
        <v>45944</v>
      </c>
      <c r="E137" s="6" t="s">
        <v>7</v>
      </c>
      <c r="F137" s="6">
        <v>240</v>
      </c>
      <c r="G137" s="6">
        <v>40</v>
      </c>
      <c r="H137" s="6">
        <v>190</v>
      </c>
      <c r="I137" s="13" t="s">
        <v>88</v>
      </c>
      <c r="J137" s="6"/>
    </row>
    <row r="138" spans="1:10" x14ac:dyDescent="0.35">
      <c r="A138" s="6" t="s">
        <v>11</v>
      </c>
      <c r="B138" s="6" t="s">
        <v>100</v>
      </c>
      <c r="C138" t="s">
        <v>125</v>
      </c>
      <c r="D138" s="10">
        <v>45944</v>
      </c>
      <c r="E138" s="6" t="s">
        <v>7</v>
      </c>
      <c r="F138" s="6">
        <v>225</v>
      </c>
      <c r="G138" s="6">
        <v>40</v>
      </c>
      <c r="H138" s="6">
        <v>108</v>
      </c>
      <c r="I138" s="6" t="s">
        <v>88</v>
      </c>
      <c r="J138" s="6"/>
    </row>
    <row r="139" spans="1:10" x14ac:dyDescent="0.35">
      <c r="A139" s="6" t="s">
        <v>11</v>
      </c>
      <c r="B139" s="6" t="s">
        <v>100</v>
      </c>
      <c r="C139" t="s">
        <v>125</v>
      </c>
      <c r="D139" s="10">
        <v>45944</v>
      </c>
      <c r="E139" s="6" t="s">
        <v>19</v>
      </c>
      <c r="F139" s="6">
        <v>380</v>
      </c>
      <c r="G139" s="6">
        <v>95</v>
      </c>
      <c r="H139" s="6">
        <v>1610</v>
      </c>
      <c r="I139" s="6" t="s">
        <v>88</v>
      </c>
      <c r="J139" s="6"/>
    </row>
    <row r="140" spans="1:10" x14ac:dyDescent="0.35">
      <c r="A140" s="6" t="s">
        <v>11</v>
      </c>
      <c r="B140" s="6" t="s">
        <v>100</v>
      </c>
      <c r="C140" t="s">
        <v>125</v>
      </c>
      <c r="D140" s="10">
        <v>45944</v>
      </c>
      <c r="E140" s="6" t="s">
        <v>28</v>
      </c>
      <c r="F140" s="6">
        <v>240</v>
      </c>
      <c r="G140" s="6">
        <v>35</v>
      </c>
      <c r="H140" s="6">
        <v>160</v>
      </c>
      <c r="I140" s="6" t="s">
        <v>88</v>
      </c>
      <c r="J140" s="6"/>
    </row>
    <row r="141" spans="1:10" x14ac:dyDescent="0.35">
      <c r="A141" s="6" t="s">
        <v>11</v>
      </c>
      <c r="B141" s="6" t="s">
        <v>100</v>
      </c>
      <c r="C141" t="s">
        <v>125</v>
      </c>
      <c r="D141" s="10">
        <v>45944</v>
      </c>
      <c r="E141" s="6" t="s">
        <v>28</v>
      </c>
      <c r="F141" s="6">
        <v>209</v>
      </c>
      <c r="G141" s="6">
        <v>35</v>
      </c>
      <c r="H141" s="6">
        <v>170</v>
      </c>
      <c r="I141" s="13" t="s">
        <v>88</v>
      </c>
      <c r="J141" s="6"/>
    </row>
    <row r="142" spans="1:10" x14ac:dyDescent="0.35">
      <c r="A142" s="6" t="s">
        <v>11</v>
      </c>
      <c r="B142" s="6" t="s">
        <v>100</v>
      </c>
      <c r="C142" t="s">
        <v>125</v>
      </c>
      <c r="D142" s="10">
        <v>45944</v>
      </c>
      <c r="E142" s="6" t="s">
        <v>28</v>
      </c>
      <c r="F142" s="6">
        <v>135</v>
      </c>
      <c r="G142" s="6">
        <v>40</v>
      </c>
      <c r="H142" s="6">
        <v>322</v>
      </c>
      <c r="I142" s="6" t="s">
        <v>88</v>
      </c>
      <c r="J142" s="6"/>
    </row>
    <row r="143" spans="1:10" x14ac:dyDescent="0.35">
      <c r="A143" s="6" t="s">
        <v>11</v>
      </c>
      <c r="B143" s="6" t="s">
        <v>61</v>
      </c>
      <c r="C143" t="s">
        <v>125</v>
      </c>
      <c r="D143" s="10">
        <v>45944</v>
      </c>
      <c r="E143" s="6" t="s">
        <v>7</v>
      </c>
      <c r="F143" s="6">
        <v>345</v>
      </c>
      <c r="G143" s="6">
        <v>70</v>
      </c>
      <c r="H143" s="6">
        <v>690</v>
      </c>
      <c r="I143" s="6" t="s">
        <v>88</v>
      </c>
      <c r="J143" s="6"/>
    </row>
    <row r="144" spans="1:10" x14ac:dyDescent="0.35">
      <c r="A144" s="6" t="s">
        <v>11</v>
      </c>
      <c r="B144" s="6" t="s">
        <v>61</v>
      </c>
      <c r="C144" t="s">
        <v>125</v>
      </c>
      <c r="D144" s="10">
        <v>45944</v>
      </c>
      <c r="E144" s="6" t="s">
        <v>7</v>
      </c>
      <c r="F144" s="6">
        <v>280</v>
      </c>
      <c r="G144" s="6">
        <v>50</v>
      </c>
      <c r="H144" s="6">
        <v>340</v>
      </c>
      <c r="I144" s="6" t="s">
        <v>88</v>
      </c>
      <c r="J144" s="6"/>
    </row>
    <row r="145" spans="1:10" x14ac:dyDescent="0.35">
      <c r="A145" s="6" t="s">
        <v>11</v>
      </c>
      <c r="B145" s="6" t="s">
        <v>61</v>
      </c>
      <c r="C145" t="s">
        <v>125</v>
      </c>
      <c r="D145" s="10">
        <v>45944</v>
      </c>
      <c r="E145" s="6" t="s">
        <v>7</v>
      </c>
      <c r="F145" s="6">
        <v>254</v>
      </c>
      <c r="G145" s="6">
        <v>45</v>
      </c>
      <c r="H145" s="6">
        <v>256</v>
      </c>
      <c r="I145" s="6" t="s">
        <v>88</v>
      </c>
    </row>
    <row r="146" spans="1:10" x14ac:dyDescent="0.35">
      <c r="A146" s="6" t="s">
        <v>11</v>
      </c>
      <c r="B146" s="6" t="s">
        <v>61</v>
      </c>
      <c r="C146" t="s">
        <v>125</v>
      </c>
      <c r="D146" s="10">
        <v>45944</v>
      </c>
      <c r="E146" s="6" t="s">
        <v>7</v>
      </c>
      <c r="F146" s="6">
        <v>220</v>
      </c>
      <c r="G146" s="6">
        <v>40</v>
      </c>
      <c r="H146" s="6">
        <v>183</v>
      </c>
      <c r="I146" s="6" t="s">
        <v>88</v>
      </c>
      <c r="J146" s="6"/>
    </row>
    <row r="147" spans="1:10" x14ac:dyDescent="0.35">
      <c r="A147" s="6" t="s">
        <v>11</v>
      </c>
      <c r="B147" s="6" t="s">
        <v>61</v>
      </c>
      <c r="C147" t="s">
        <v>125</v>
      </c>
      <c r="D147" s="10">
        <v>45944</v>
      </c>
      <c r="E147" s="6" t="s">
        <v>7</v>
      </c>
      <c r="F147" s="6">
        <v>211</v>
      </c>
      <c r="G147" s="6">
        <v>35</v>
      </c>
      <c r="H147" s="6">
        <v>130</v>
      </c>
      <c r="I147" s="13" t="s">
        <v>88</v>
      </c>
      <c r="J147" s="6"/>
    </row>
    <row r="148" spans="1:10" x14ac:dyDescent="0.35">
      <c r="A148" s="6" t="s">
        <v>11</v>
      </c>
      <c r="B148" s="6" t="s">
        <v>61</v>
      </c>
      <c r="C148" t="s">
        <v>125</v>
      </c>
      <c r="D148" s="10">
        <v>45944</v>
      </c>
      <c r="E148" s="6" t="s">
        <v>7</v>
      </c>
      <c r="F148" s="6">
        <v>205</v>
      </c>
      <c r="G148" s="6">
        <v>40</v>
      </c>
      <c r="H148" s="6">
        <v>103</v>
      </c>
      <c r="I148" s="6" t="s">
        <v>88</v>
      </c>
      <c r="J148" s="6"/>
    </row>
    <row r="149" spans="1:10" x14ac:dyDescent="0.35">
      <c r="A149" s="6" t="s">
        <v>11</v>
      </c>
      <c r="B149" s="6" t="s">
        <v>61</v>
      </c>
      <c r="C149" t="s">
        <v>125</v>
      </c>
      <c r="D149" s="10">
        <v>45945</v>
      </c>
      <c r="E149" s="6" t="s">
        <v>95</v>
      </c>
      <c r="F149" s="6">
        <v>575</v>
      </c>
      <c r="G149" s="6">
        <v>95</v>
      </c>
      <c r="H149" s="6">
        <v>3590</v>
      </c>
      <c r="I149" s="6" t="s">
        <v>88</v>
      </c>
      <c r="J149" s="6"/>
    </row>
    <row r="150" spans="1:10" x14ac:dyDescent="0.35">
      <c r="A150" s="6" t="s">
        <v>11</v>
      </c>
      <c r="B150" s="6" t="s">
        <v>61</v>
      </c>
      <c r="C150" t="s">
        <v>125</v>
      </c>
      <c r="D150" s="10">
        <v>45944</v>
      </c>
      <c r="E150" s="6" t="s">
        <v>95</v>
      </c>
      <c r="F150" s="6">
        <v>265</v>
      </c>
      <c r="G150" s="6">
        <v>40</v>
      </c>
      <c r="H150" s="6">
        <v>358</v>
      </c>
      <c r="I150" s="6" t="s">
        <v>88</v>
      </c>
      <c r="J150" s="6"/>
    </row>
    <row r="151" spans="1:10" x14ac:dyDescent="0.35">
      <c r="A151" t="s">
        <v>11</v>
      </c>
      <c r="B151" t="s">
        <v>61</v>
      </c>
      <c r="C151" t="s">
        <v>125</v>
      </c>
      <c r="D151" s="1">
        <v>45996</v>
      </c>
      <c r="E151" t="s">
        <v>18</v>
      </c>
      <c r="F151">
        <v>546</v>
      </c>
      <c r="G151">
        <v>83</v>
      </c>
      <c r="H151">
        <v>259</v>
      </c>
      <c r="I151" s="6" t="s">
        <v>88</v>
      </c>
      <c r="J151" s="6"/>
    </row>
    <row r="152" spans="1:10" x14ac:dyDescent="0.35">
      <c r="A152" s="6" t="s">
        <v>11</v>
      </c>
      <c r="B152" s="6" t="s">
        <v>61</v>
      </c>
      <c r="C152" t="s">
        <v>125</v>
      </c>
      <c r="D152" s="10">
        <v>45944</v>
      </c>
      <c r="E152" s="6" t="s">
        <v>19</v>
      </c>
      <c r="F152" s="6">
        <v>326</v>
      </c>
      <c r="G152" s="6">
        <v>85</v>
      </c>
      <c r="H152" s="6">
        <v>1260</v>
      </c>
      <c r="I152" s="6" t="s">
        <v>88</v>
      </c>
      <c r="J152" s="6"/>
    </row>
    <row r="153" spans="1:10" x14ac:dyDescent="0.35">
      <c r="A153" s="6" t="s">
        <v>11</v>
      </c>
      <c r="B153" s="6" t="s">
        <v>61</v>
      </c>
      <c r="C153" t="s">
        <v>125</v>
      </c>
      <c r="D153" s="10">
        <v>45944</v>
      </c>
      <c r="E153" s="6" t="s">
        <v>21</v>
      </c>
      <c r="F153" s="6">
        <v>470</v>
      </c>
      <c r="G153" s="6">
        <v>90</v>
      </c>
      <c r="H153" s="6">
        <v>2480</v>
      </c>
      <c r="I153" s="6" t="s">
        <v>88</v>
      </c>
      <c r="J153" s="6"/>
    </row>
    <row r="154" spans="1:10" x14ac:dyDescent="0.35">
      <c r="A154" s="6" t="s">
        <v>11</v>
      </c>
      <c r="B154" s="6" t="s">
        <v>61</v>
      </c>
      <c r="C154" t="s">
        <v>125</v>
      </c>
      <c r="D154" s="10">
        <v>45944</v>
      </c>
      <c r="E154" s="6" t="s">
        <v>21</v>
      </c>
      <c r="F154" s="6">
        <v>340</v>
      </c>
      <c r="G154" s="6">
        <v>65</v>
      </c>
      <c r="H154" s="6">
        <v>1250</v>
      </c>
      <c r="I154" s="6" t="s">
        <v>88</v>
      </c>
      <c r="J154" s="6"/>
    </row>
    <row r="155" spans="1:10" x14ac:dyDescent="0.35">
      <c r="A155" s="6" t="s">
        <v>11</v>
      </c>
      <c r="B155" s="6" t="s">
        <v>61</v>
      </c>
      <c r="C155" t="s">
        <v>125</v>
      </c>
      <c r="D155" s="10">
        <v>45944</v>
      </c>
      <c r="E155" s="6" t="s">
        <v>21</v>
      </c>
      <c r="F155" s="6">
        <v>184</v>
      </c>
      <c r="G155" s="6">
        <v>20</v>
      </c>
      <c r="H155" s="6">
        <v>94</v>
      </c>
      <c r="I155" s="6" t="s">
        <v>88</v>
      </c>
      <c r="J155" s="6"/>
    </row>
    <row r="156" spans="1:10" x14ac:dyDescent="0.35">
      <c r="A156" s="6" t="s">
        <v>11</v>
      </c>
      <c r="B156" s="6" t="s">
        <v>61</v>
      </c>
      <c r="C156" t="s">
        <v>125</v>
      </c>
      <c r="D156" s="10">
        <v>45944</v>
      </c>
      <c r="E156" s="6" t="s">
        <v>29</v>
      </c>
      <c r="F156" s="6">
        <v>152</v>
      </c>
      <c r="G156" s="6">
        <v>20</v>
      </c>
      <c r="H156" s="6">
        <v>46</v>
      </c>
      <c r="I156" s="6" t="s">
        <v>88</v>
      </c>
      <c r="J156" s="6"/>
    </row>
    <row r="157" spans="1:10" x14ac:dyDescent="0.35">
      <c r="A157" s="6" t="s">
        <v>11</v>
      </c>
      <c r="B157" s="6" t="s">
        <v>94</v>
      </c>
      <c r="C157" t="s">
        <v>125</v>
      </c>
      <c r="D157" s="10">
        <v>45944</v>
      </c>
      <c r="E157" s="6" t="s">
        <v>7</v>
      </c>
      <c r="F157" s="6">
        <v>310</v>
      </c>
      <c r="G157" s="6">
        <v>55</v>
      </c>
      <c r="H157" s="6">
        <v>394</v>
      </c>
      <c r="I157" s="13" t="s">
        <v>88</v>
      </c>
    </row>
    <row r="158" spans="1:10" x14ac:dyDescent="0.35">
      <c r="A158" s="6" t="s">
        <v>11</v>
      </c>
      <c r="B158" s="6" t="s">
        <v>94</v>
      </c>
      <c r="C158" t="s">
        <v>125</v>
      </c>
      <c r="D158" s="10">
        <v>45944</v>
      </c>
      <c r="E158" s="6" t="s">
        <v>7</v>
      </c>
      <c r="F158" s="6">
        <v>270</v>
      </c>
      <c r="G158" s="6">
        <v>50</v>
      </c>
      <c r="H158" s="6">
        <v>297</v>
      </c>
      <c r="I158" s="6" t="s">
        <v>88</v>
      </c>
      <c r="J158" s="6"/>
    </row>
    <row r="159" spans="1:10" x14ac:dyDescent="0.35">
      <c r="A159" s="6" t="s">
        <v>11</v>
      </c>
      <c r="B159" s="6" t="s">
        <v>94</v>
      </c>
      <c r="C159" t="s">
        <v>125</v>
      </c>
      <c r="D159" s="10">
        <v>45944</v>
      </c>
      <c r="E159" s="6" t="s">
        <v>7</v>
      </c>
      <c r="F159" s="6">
        <v>260</v>
      </c>
      <c r="G159" s="6">
        <v>45</v>
      </c>
      <c r="H159" s="6">
        <v>239</v>
      </c>
      <c r="I159" s="6" t="s">
        <v>88</v>
      </c>
    </row>
    <row r="160" spans="1:10" x14ac:dyDescent="0.35">
      <c r="A160" s="6" t="s">
        <v>11</v>
      </c>
      <c r="B160" s="6" t="s">
        <v>94</v>
      </c>
      <c r="C160" t="s">
        <v>125</v>
      </c>
      <c r="D160" s="10">
        <v>45944</v>
      </c>
      <c r="E160" s="6" t="s">
        <v>7</v>
      </c>
      <c r="F160" s="6">
        <v>238</v>
      </c>
      <c r="G160" s="6">
        <v>45</v>
      </c>
      <c r="H160" s="6">
        <v>201</v>
      </c>
      <c r="I160" s="6" t="s">
        <v>88</v>
      </c>
    </row>
    <row r="161" spans="1:10" x14ac:dyDescent="0.35">
      <c r="A161" s="6" t="s">
        <v>11</v>
      </c>
      <c r="B161" s="6" t="s">
        <v>94</v>
      </c>
      <c r="C161" t="s">
        <v>125</v>
      </c>
      <c r="D161" s="10">
        <v>45944</v>
      </c>
      <c r="E161" s="6" t="s">
        <v>7</v>
      </c>
      <c r="F161" s="6">
        <v>226</v>
      </c>
      <c r="G161" s="6">
        <v>45</v>
      </c>
      <c r="H161" s="6">
        <v>162</v>
      </c>
      <c r="I161" s="6" t="s">
        <v>88</v>
      </c>
      <c r="J161" s="6"/>
    </row>
    <row r="162" spans="1:10" x14ac:dyDescent="0.35">
      <c r="A162" s="6" t="s">
        <v>11</v>
      </c>
      <c r="B162" s="6" t="s">
        <v>94</v>
      </c>
      <c r="C162" t="s">
        <v>125</v>
      </c>
      <c r="D162" s="10">
        <v>45945</v>
      </c>
      <c r="E162" s="6" t="s">
        <v>7</v>
      </c>
      <c r="F162" s="6">
        <v>219</v>
      </c>
      <c r="G162" s="6">
        <v>40</v>
      </c>
      <c r="H162" s="6">
        <v>143</v>
      </c>
      <c r="I162" s="6" t="s">
        <v>88</v>
      </c>
      <c r="J162" s="6"/>
    </row>
    <row r="163" spans="1:10" x14ac:dyDescent="0.35">
      <c r="A163" s="6" t="s">
        <v>11</v>
      </c>
      <c r="B163" s="6" t="s">
        <v>94</v>
      </c>
      <c r="C163" t="s">
        <v>125</v>
      </c>
      <c r="D163" s="10">
        <v>45944</v>
      </c>
      <c r="E163" s="6" t="s">
        <v>7</v>
      </c>
      <c r="F163" s="6">
        <v>213</v>
      </c>
      <c r="G163" s="6">
        <v>40</v>
      </c>
      <c r="H163" s="6">
        <v>142</v>
      </c>
      <c r="I163" s="13" t="s">
        <v>88</v>
      </c>
      <c r="J163" s="6"/>
    </row>
    <row r="164" spans="1:10" x14ac:dyDescent="0.35">
      <c r="A164" s="6" t="s">
        <v>11</v>
      </c>
      <c r="B164" s="6" t="s">
        <v>94</v>
      </c>
      <c r="C164" t="s">
        <v>125</v>
      </c>
      <c r="D164" s="10">
        <v>45944</v>
      </c>
      <c r="E164" s="6" t="s">
        <v>7</v>
      </c>
      <c r="F164" s="6">
        <v>187</v>
      </c>
      <c r="G164" s="6">
        <v>40</v>
      </c>
      <c r="H164" s="6">
        <v>84</v>
      </c>
      <c r="I164" s="6" t="s">
        <v>88</v>
      </c>
    </row>
    <row r="165" spans="1:10" x14ac:dyDescent="0.35">
      <c r="A165" s="6" t="s">
        <v>11</v>
      </c>
      <c r="B165" s="6" t="s">
        <v>94</v>
      </c>
      <c r="C165" t="s">
        <v>125</v>
      </c>
      <c r="D165" s="10">
        <v>45944</v>
      </c>
      <c r="E165" s="6" t="s">
        <v>7</v>
      </c>
      <c r="F165" s="6">
        <v>186</v>
      </c>
      <c r="G165" s="6">
        <v>45</v>
      </c>
      <c r="H165" s="6">
        <v>88</v>
      </c>
      <c r="I165" s="6" t="s">
        <v>88</v>
      </c>
      <c r="J165" s="6"/>
    </row>
    <row r="166" spans="1:10" x14ac:dyDescent="0.35">
      <c r="A166" s="6" t="s">
        <v>11</v>
      </c>
      <c r="B166" s="6" t="s">
        <v>94</v>
      </c>
      <c r="C166" t="s">
        <v>125</v>
      </c>
      <c r="D166" s="10">
        <v>45944</v>
      </c>
      <c r="E166" s="6" t="s">
        <v>19</v>
      </c>
      <c r="F166" s="6">
        <v>349</v>
      </c>
      <c r="G166" s="6">
        <v>75</v>
      </c>
      <c r="H166" s="6">
        <v>1240</v>
      </c>
      <c r="I166" s="6" t="s">
        <v>88</v>
      </c>
      <c r="J166" s="6"/>
    </row>
    <row r="167" spans="1:10" x14ac:dyDescent="0.35">
      <c r="A167" s="6" t="s">
        <v>11</v>
      </c>
      <c r="B167" s="6" t="s">
        <v>94</v>
      </c>
      <c r="C167" t="s">
        <v>125</v>
      </c>
      <c r="D167" s="10">
        <v>45944</v>
      </c>
      <c r="E167" s="6" t="s">
        <v>19</v>
      </c>
      <c r="F167" s="6">
        <v>229</v>
      </c>
      <c r="G167" s="6">
        <v>45</v>
      </c>
      <c r="H167" s="6">
        <v>341</v>
      </c>
      <c r="I167" s="6" t="s">
        <v>88</v>
      </c>
    </row>
    <row r="168" spans="1:10" x14ac:dyDescent="0.35">
      <c r="A168" s="6" t="s">
        <v>11</v>
      </c>
      <c r="B168" s="6" t="s">
        <v>94</v>
      </c>
      <c r="C168" t="s">
        <v>125</v>
      </c>
      <c r="D168" s="10">
        <v>45944</v>
      </c>
      <c r="E168" s="6" t="s">
        <v>19</v>
      </c>
      <c r="F168" s="6">
        <v>220</v>
      </c>
      <c r="G168" s="6">
        <v>40</v>
      </c>
      <c r="H168" s="6">
        <v>286</v>
      </c>
      <c r="I168" s="6" t="s">
        <v>88</v>
      </c>
    </row>
    <row r="169" spans="1:10" x14ac:dyDescent="0.35">
      <c r="A169" s="6" t="s">
        <v>11</v>
      </c>
      <c r="B169" s="6" t="s">
        <v>94</v>
      </c>
      <c r="C169" t="s">
        <v>125</v>
      </c>
      <c r="D169" s="10">
        <v>45945</v>
      </c>
      <c r="E169" s="6" t="s">
        <v>21</v>
      </c>
      <c r="F169" s="6">
        <v>201</v>
      </c>
      <c r="G169" s="6">
        <v>25</v>
      </c>
      <c r="H169" s="6">
        <v>140</v>
      </c>
      <c r="I169" s="6" t="s">
        <v>88</v>
      </c>
      <c r="J169" s="6"/>
    </row>
    <row r="170" spans="1:10" x14ac:dyDescent="0.35">
      <c r="A170" t="s">
        <v>11</v>
      </c>
      <c r="B170" t="s">
        <v>58</v>
      </c>
      <c r="C170" t="s">
        <v>125</v>
      </c>
      <c r="D170" s="1">
        <v>46361</v>
      </c>
      <c r="E170" s="6" t="s">
        <v>95</v>
      </c>
      <c r="F170">
        <v>638</v>
      </c>
      <c r="G170">
        <v>126</v>
      </c>
      <c r="H170">
        <v>5110</v>
      </c>
      <c r="I170" s="6" t="s">
        <v>88</v>
      </c>
      <c r="J170" s="6"/>
    </row>
    <row r="171" spans="1:10" x14ac:dyDescent="0.35">
      <c r="A171" s="6" t="s">
        <v>11</v>
      </c>
      <c r="B171" s="6" t="s">
        <v>58</v>
      </c>
      <c r="C171" t="s">
        <v>125</v>
      </c>
      <c r="D171" s="10">
        <v>45951</v>
      </c>
      <c r="E171" s="6" t="s">
        <v>121</v>
      </c>
      <c r="F171" s="6">
        <v>725</v>
      </c>
      <c r="G171" s="6">
        <v>120</v>
      </c>
      <c r="H171" s="6">
        <v>5270</v>
      </c>
      <c r="I171" s="6" t="s">
        <v>88</v>
      </c>
    </row>
    <row r="172" spans="1:10" x14ac:dyDescent="0.35">
      <c r="A172" s="2" t="s">
        <v>11</v>
      </c>
      <c r="B172" s="2" t="s">
        <v>58</v>
      </c>
      <c r="C172" s="2" t="s">
        <v>125</v>
      </c>
      <c r="D172" s="11">
        <v>46361</v>
      </c>
      <c r="E172" s="2" t="s">
        <v>20</v>
      </c>
      <c r="F172" s="2">
        <v>430</v>
      </c>
      <c r="G172" s="2">
        <v>64</v>
      </c>
      <c r="H172" s="2">
        <v>1410</v>
      </c>
      <c r="I172" s="6" t="s">
        <v>88</v>
      </c>
    </row>
    <row r="173" spans="1:10" x14ac:dyDescent="0.35">
      <c r="A173" t="s">
        <v>11</v>
      </c>
      <c r="B173" t="s">
        <v>58</v>
      </c>
      <c r="C173" t="s">
        <v>125</v>
      </c>
      <c r="D173" s="1">
        <v>46361</v>
      </c>
      <c r="E173" t="s">
        <v>20</v>
      </c>
      <c r="F173">
        <v>321</v>
      </c>
      <c r="G173">
        <v>39</v>
      </c>
      <c r="H173">
        <v>590</v>
      </c>
      <c r="I173" s="6" t="s">
        <v>88</v>
      </c>
      <c r="J173" s="6"/>
    </row>
    <row r="174" spans="1:10" x14ac:dyDescent="0.35">
      <c r="A174" s="6" t="s">
        <v>11</v>
      </c>
      <c r="B174" s="6" t="s">
        <v>72</v>
      </c>
      <c r="C174" t="s">
        <v>125</v>
      </c>
      <c r="D174" s="10">
        <v>45945</v>
      </c>
      <c r="E174" s="6" t="s">
        <v>7</v>
      </c>
      <c r="F174" s="6">
        <v>200</v>
      </c>
      <c r="G174" s="6">
        <v>40</v>
      </c>
      <c r="H174" s="6">
        <v>114</v>
      </c>
      <c r="I174" s="13" t="s">
        <v>88</v>
      </c>
    </row>
    <row r="175" spans="1:10" x14ac:dyDescent="0.35">
      <c r="A175" s="6" t="s">
        <v>11</v>
      </c>
      <c r="B175" s="6" t="s">
        <v>72</v>
      </c>
      <c r="C175" t="s">
        <v>125</v>
      </c>
      <c r="D175" s="10">
        <v>45945</v>
      </c>
      <c r="E175" s="6" t="s">
        <v>7</v>
      </c>
      <c r="F175" s="6">
        <v>191</v>
      </c>
      <c r="G175" s="6">
        <v>35</v>
      </c>
      <c r="H175" s="6">
        <v>135</v>
      </c>
      <c r="I175" s="6" t="s">
        <v>88</v>
      </c>
    </row>
    <row r="176" spans="1:10" x14ac:dyDescent="0.35">
      <c r="A176" s="6" t="s">
        <v>11</v>
      </c>
      <c r="B176" s="6" t="s">
        <v>72</v>
      </c>
      <c r="C176" t="s">
        <v>125</v>
      </c>
      <c r="D176" s="10">
        <v>45945</v>
      </c>
      <c r="E176" s="6" t="s">
        <v>7</v>
      </c>
      <c r="F176" s="6">
        <v>186</v>
      </c>
      <c r="G176" s="6">
        <v>30</v>
      </c>
      <c r="H176" s="6">
        <v>88</v>
      </c>
      <c r="I176" s="6" t="s">
        <v>88</v>
      </c>
      <c r="J176" s="6"/>
    </row>
    <row r="177" spans="1:10" x14ac:dyDescent="0.35">
      <c r="A177" s="6" t="s">
        <v>11</v>
      </c>
      <c r="B177" s="6" t="s">
        <v>72</v>
      </c>
      <c r="C177" t="s">
        <v>125</v>
      </c>
      <c r="D177" s="10">
        <v>45945</v>
      </c>
      <c r="E177" s="6" t="s">
        <v>7</v>
      </c>
      <c r="F177" s="6">
        <v>179</v>
      </c>
      <c r="G177" s="6">
        <v>30</v>
      </c>
      <c r="H177" s="6">
        <v>75</v>
      </c>
      <c r="I177" s="6" t="s">
        <v>113</v>
      </c>
    </row>
    <row r="178" spans="1:10" x14ac:dyDescent="0.35">
      <c r="A178" s="6" t="s">
        <v>11</v>
      </c>
      <c r="B178" s="6" t="s">
        <v>72</v>
      </c>
      <c r="C178" t="s">
        <v>125</v>
      </c>
      <c r="D178" s="10">
        <v>45945</v>
      </c>
      <c r="E178" s="6" t="s">
        <v>7</v>
      </c>
      <c r="F178" s="6">
        <v>174</v>
      </c>
      <c r="G178" s="6">
        <v>25</v>
      </c>
      <c r="H178" s="6">
        <v>83</v>
      </c>
      <c r="I178" s="6" t="s">
        <v>88</v>
      </c>
      <c r="J178" s="6"/>
    </row>
    <row r="179" spans="1:10" x14ac:dyDescent="0.35">
      <c r="A179" s="6" t="s">
        <v>11</v>
      </c>
      <c r="B179" s="6" t="s">
        <v>72</v>
      </c>
      <c r="C179" t="s">
        <v>125</v>
      </c>
      <c r="D179" s="10">
        <v>45945</v>
      </c>
      <c r="E179" s="6" t="s">
        <v>7</v>
      </c>
      <c r="F179" s="6">
        <v>142</v>
      </c>
      <c r="G179" s="6">
        <v>20</v>
      </c>
      <c r="H179" s="6">
        <v>41</v>
      </c>
      <c r="I179" s="6" t="s">
        <v>113</v>
      </c>
    </row>
    <row r="180" spans="1:10" x14ac:dyDescent="0.35">
      <c r="A180" s="6" t="s">
        <v>11</v>
      </c>
      <c r="B180" s="6" t="s">
        <v>72</v>
      </c>
      <c r="C180" t="s">
        <v>125</v>
      </c>
      <c r="D180" s="10">
        <v>45945</v>
      </c>
      <c r="E180" s="6" t="s">
        <v>7</v>
      </c>
      <c r="F180" s="6">
        <v>130</v>
      </c>
      <c r="G180" s="6">
        <v>22</v>
      </c>
      <c r="H180" s="6">
        <v>30</v>
      </c>
      <c r="I180" s="6" t="s">
        <v>113</v>
      </c>
      <c r="J180" s="6"/>
    </row>
    <row r="181" spans="1:10" x14ac:dyDescent="0.35">
      <c r="A181" s="6" t="s">
        <v>11</v>
      </c>
      <c r="B181" s="6" t="s">
        <v>72</v>
      </c>
      <c r="C181" t="s">
        <v>125</v>
      </c>
      <c r="D181" s="10">
        <v>45945</v>
      </c>
      <c r="E181" s="6" t="s">
        <v>7</v>
      </c>
      <c r="F181" s="6">
        <v>123</v>
      </c>
      <c r="G181" s="6">
        <v>21</v>
      </c>
      <c r="H181" s="6">
        <v>23</v>
      </c>
      <c r="I181" s="6" t="s">
        <v>88</v>
      </c>
    </row>
    <row r="182" spans="1:10" x14ac:dyDescent="0.35">
      <c r="A182" t="s">
        <v>11</v>
      </c>
      <c r="B182" t="s">
        <v>72</v>
      </c>
      <c r="C182" t="s">
        <v>125</v>
      </c>
      <c r="D182" s="1">
        <v>45996</v>
      </c>
      <c r="E182" t="s">
        <v>20</v>
      </c>
      <c r="F182">
        <v>419</v>
      </c>
      <c r="G182">
        <v>59</v>
      </c>
      <c r="H182">
        <v>1370</v>
      </c>
      <c r="I182" s="2" t="s">
        <v>88</v>
      </c>
      <c r="J182" s="6"/>
    </row>
    <row r="183" spans="1:10" x14ac:dyDescent="0.35">
      <c r="A183" t="s">
        <v>11</v>
      </c>
      <c r="B183" t="s">
        <v>72</v>
      </c>
      <c r="C183" t="s">
        <v>125</v>
      </c>
      <c r="D183" s="1">
        <v>45996</v>
      </c>
      <c r="E183" t="s">
        <v>20</v>
      </c>
      <c r="F183">
        <v>417</v>
      </c>
      <c r="G183">
        <v>49</v>
      </c>
      <c r="H183">
        <v>1200</v>
      </c>
      <c r="I183" s="6" t="s">
        <v>88</v>
      </c>
      <c r="J183" s="6"/>
    </row>
    <row r="184" spans="1:10" x14ac:dyDescent="0.35">
      <c r="A184" t="s">
        <v>11</v>
      </c>
      <c r="B184" t="s">
        <v>72</v>
      </c>
      <c r="C184" t="s">
        <v>125</v>
      </c>
      <c r="D184" s="1">
        <v>45996</v>
      </c>
      <c r="E184" t="s">
        <v>20</v>
      </c>
      <c r="F184">
        <v>398</v>
      </c>
      <c r="G184">
        <v>51</v>
      </c>
      <c r="H184">
        <v>1020</v>
      </c>
      <c r="I184" s="6" t="s">
        <v>113</v>
      </c>
      <c r="J184" s="6"/>
    </row>
    <row r="185" spans="1:10" x14ac:dyDescent="0.35">
      <c r="A185" t="s">
        <v>11</v>
      </c>
      <c r="B185" t="s">
        <v>72</v>
      </c>
      <c r="C185" t="s">
        <v>125</v>
      </c>
      <c r="D185" s="1">
        <v>45996</v>
      </c>
      <c r="E185" t="s">
        <v>20</v>
      </c>
      <c r="F185">
        <v>328</v>
      </c>
      <c r="G185">
        <v>45</v>
      </c>
      <c r="H185">
        <v>630</v>
      </c>
      <c r="I185" s="6" t="s">
        <v>88</v>
      </c>
      <c r="J185" s="6"/>
    </row>
    <row r="186" spans="1:10" x14ac:dyDescent="0.35">
      <c r="A186" s="6" t="s">
        <v>11</v>
      </c>
      <c r="B186" s="6" t="s">
        <v>72</v>
      </c>
      <c r="C186" t="s">
        <v>125</v>
      </c>
      <c r="D186" s="10">
        <v>45945</v>
      </c>
      <c r="E186" s="6" t="s">
        <v>20</v>
      </c>
      <c r="F186" s="6">
        <v>175</v>
      </c>
      <c r="G186" s="6">
        <v>25</v>
      </c>
      <c r="H186" s="6">
        <v>97</v>
      </c>
      <c r="I186" s="6" t="s">
        <v>88</v>
      </c>
      <c r="J186" s="6"/>
    </row>
    <row r="187" spans="1:10" x14ac:dyDescent="0.35">
      <c r="A187" s="6" t="s">
        <v>11</v>
      </c>
      <c r="B187" s="6" t="s">
        <v>72</v>
      </c>
      <c r="C187" t="s">
        <v>125</v>
      </c>
      <c r="D187" s="10">
        <v>45951</v>
      </c>
      <c r="E187" s="6" t="s">
        <v>26</v>
      </c>
      <c r="F187" s="6">
        <v>690</v>
      </c>
      <c r="G187" s="6">
        <v>75</v>
      </c>
      <c r="H187" s="6">
        <v>3920</v>
      </c>
      <c r="I187" s="6" t="s">
        <v>88</v>
      </c>
      <c r="J187" s="6"/>
    </row>
    <row r="188" spans="1:10" x14ac:dyDescent="0.35">
      <c r="A188" t="s">
        <v>11</v>
      </c>
      <c r="B188" t="s">
        <v>72</v>
      </c>
      <c r="C188" t="s">
        <v>125</v>
      </c>
      <c r="D188" s="1">
        <v>45996</v>
      </c>
      <c r="E188" t="s">
        <v>28</v>
      </c>
      <c r="F188">
        <v>222</v>
      </c>
      <c r="G188">
        <v>34</v>
      </c>
      <c r="H188">
        <v>220</v>
      </c>
      <c r="I188" s="13" t="s">
        <v>88</v>
      </c>
      <c r="J188" s="6"/>
    </row>
    <row r="189" spans="1:10" x14ac:dyDescent="0.35">
      <c r="A189" s="6" t="s">
        <v>11</v>
      </c>
      <c r="B189" s="6" t="s">
        <v>83</v>
      </c>
      <c r="C189" t="s">
        <v>125</v>
      </c>
      <c r="D189" s="10">
        <v>45951</v>
      </c>
      <c r="E189" s="6" t="s">
        <v>95</v>
      </c>
      <c r="F189" s="6">
        <v>564</v>
      </c>
      <c r="G189" s="6">
        <v>95</v>
      </c>
      <c r="H189" s="6">
        <v>4120</v>
      </c>
      <c r="I189" s="6" t="s">
        <v>88</v>
      </c>
      <c r="J189" s="6"/>
    </row>
    <row r="190" spans="1:10" x14ac:dyDescent="0.35">
      <c r="A190" s="6" t="s">
        <v>11</v>
      </c>
      <c r="B190" s="6" t="s">
        <v>83</v>
      </c>
      <c r="C190" t="s">
        <v>125</v>
      </c>
      <c r="D190" s="10">
        <v>45945</v>
      </c>
      <c r="E190" s="6" t="s">
        <v>20</v>
      </c>
      <c r="F190" s="6">
        <v>162</v>
      </c>
      <c r="G190" s="6">
        <v>15</v>
      </c>
      <c r="H190" s="6">
        <v>66</v>
      </c>
      <c r="I190" s="6" t="s">
        <v>88</v>
      </c>
      <c r="J190" s="6"/>
    </row>
    <row r="191" spans="1:10" x14ac:dyDescent="0.35">
      <c r="A191" s="6" t="s">
        <v>11</v>
      </c>
      <c r="B191" s="6" t="s">
        <v>83</v>
      </c>
      <c r="C191" t="s">
        <v>125</v>
      </c>
      <c r="D191" s="10">
        <v>45945</v>
      </c>
      <c r="E191" s="6" t="s">
        <v>20</v>
      </c>
      <c r="F191" s="6">
        <v>142</v>
      </c>
      <c r="G191" s="6">
        <v>15</v>
      </c>
      <c r="H191" s="6">
        <v>43</v>
      </c>
      <c r="I191" s="6" t="s">
        <v>88</v>
      </c>
      <c r="J191" s="6"/>
    </row>
    <row r="192" spans="1:10" x14ac:dyDescent="0.35">
      <c r="A192" t="s">
        <v>11</v>
      </c>
      <c r="B192" t="s">
        <v>83</v>
      </c>
      <c r="C192" t="s">
        <v>125</v>
      </c>
      <c r="D192" s="1">
        <v>45799</v>
      </c>
      <c r="E192" t="s">
        <v>23</v>
      </c>
      <c r="F192">
        <v>943</v>
      </c>
      <c r="G192">
        <v>90</v>
      </c>
      <c r="H192">
        <v>5950</v>
      </c>
      <c r="J192" s="6"/>
    </row>
    <row r="193" spans="1:10" x14ac:dyDescent="0.35">
      <c r="A193" s="6" t="s">
        <v>11</v>
      </c>
      <c r="B193" s="6" t="s">
        <v>83</v>
      </c>
      <c r="C193" t="s">
        <v>125</v>
      </c>
      <c r="D193" s="10">
        <v>45945</v>
      </c>
      <c r="E193" s="6" t="s">
        <v>91</v>
      </c>
      <c r="F193" s="6">
        <v>228</v>
      </c>
      <c r="G193" s="6">
        <v>35</v>
      </c>
      <c r="H193" s="6">
        <v>250</v>
      </c>
      <c r="I193" s="6" t="s">
        <v>88</v>
      </c>
    </row>
    <row r="194" spans="1:10" x14ac:dyDescent="0.35">
      <c r="A194" s="6" t="s">
        <v>11</v>
      </c>
      <c r="B194" s="6" t="s">
        <v>83</v>
      </c>
      <c r="C194" t="s">
        <v>125</v>
      </c>
      <c r="D194" s="10">
        <v>45945</v>
      </c>
      <c r="E194" s="6" t="s">
        <v>91</v>
      </c>
      <c r="F194" s="6">
        <v>220</v>
      </c>
      <c r="G194" s="6">
        <v>35</v>
      </c>
      <c r="H194" s="6">
        <v>230</v>
      </c>
      <c r="I194" s="6" t="s">
        <v>88</v>
      </c>
      <c r="J194" s="6"/>
    </row>
    <row r="195" spans="1:10" x14ac:dyDescent="0.35">
      <c r="A195" s="6" t="s">
        <v>11</v>
      </c>
      <c r="B195" s="6" t="s">
        <v>83</v>
      </c>
      <c r="C195" t="s">
        <v>125</v>
      </c>
      <c r="D195" s="10">
        <v>45945</v>
      </c>
      <c r="E195" s="6" t="s">
        <v>91</v>
      </c>
      <c r="F195" s="6">
        <v>182</v>
      </c>
      <c r="G195" s="6">
        <v>25</v>
      </c>
      <c r="H195" s="6">
        <v>118</v>
      </c>
      <c r="I195" s="6" t="s">
        <v>88</v>
      </c>
    </row>
    <row r="196" spans="1:10" x14ac:dyDescent="0.35">
      <c r="A196" s="6" t="s">
        <v>11</v>
      </c>
      <c r="B196" s="6" t="s">
        <v>83</v>
      </c>
      <c r="C196" t="s">
        <v>125</v>
      </c>
      <c r="D196" s="10">
        <v>45945</v>
      </c>
      <c r="E196" s="6" t="s">
        <v>91</v>
      </c>
      <c r="F196" s="6">
        <v>174</v>
      </c>
      <c r="G196" s="6">
        <v>20</v>
      </c>
      <c r="H196" s="6">
        <v>110</v>
      </c>
      <c r="I196" s="6" t="s">
        <v>88</v>
      </c>
      <c r="J196" s="6"/>
    </row>
    <row r="197" spans="1:10" x14ac:dyDescent="0.35">
      <c r="A197" s="6" t="s">
        <v>11</v>
      </c>
      <c r="B197" s="6" t="s">
        <v>83</v>
      </c>
      <c r="C197" t="s">
        <v>125</v>
      </c>
      <c r="D197" s="10">
        <v>45945</v>
      </c>
      <c r="E197" s="6" t="s">
        <v>91</v>
      </c>
      <c r="F197" s="6">
        <v>170</v>
      </c>
      <c r="G197" s="6">
        <v>20</v>
      </c>
      <c r="H197" s="6">
        <v>93</v>
      </c>
      <c r="I197" s="6" t="s">
        <v>88</v>
      </c>
      <c r="J197" s="6"/>
    </row>
    <row r="198" spans="1:10" x14ac:dyDescent="0.35">
      <c r="A198" s="6" t="s">
        <v>11</v>
      </c>
      <c r="B198" s="6" t="s">
        <v>83</v>
      </c>
      <c r="C198" t="s">
        <v>125</v>
      </c>
      <c r="D198" s="10">
        <v>45945</v>
      </c>
      <c r="E198" s="6" t="s">
        <v>91</v>
      </c>
      <c r="F198" s="6">
        <v>122</v>
      </c>
      <c r="G198" s="6">
        <v>15</v>
      </c>
      <c r="H198" s="6">
        <v>39</v>
      </c>
      <c r="I198" s="6" t="s">
        <v>88</v>
      </c>
    </row>
    <row r="199" spans="1:10" x14ac:dyDescent="0.35">
      <c r="A199" s="6" t="s">
        <v>11</v>
      </c>
      <c r="B199" s="6" t="s">
        <v>83</v>
      </c>
      <c r="C199" t="s">
        <v>125</v>
      </c>
      <c r="D199" s="10">
        <v>45945</v>
      </c>
      <c r="E199" s="6" t="s">
        <v>90</v>
      </c>
      <c r="F199" s="6">
        <v>226</v>
      </c>
      <c r="G199" s="6">
        <v>30</v>
      </c>
      <c r="H199" s="6">
        <v>193</v>
      </c>
      <c r="I199" s="6" t="s">
        <v>88</v>
      </c>
      <c r="J199" s="6"/>
    </row>
    <row r="200" spans="1:10" x14ac:dyDescent="0.35">
      <c r="A200" s="6" t="s">
        <v>11</v>
      </c>
      <c r="B200" s="6" t="s">
        <v>83</v>
      </c>
      <c r="C200" t="s">
        <v>125</v>
      </c>
      <c r="D200" s="10">
        <v>45945</v>
      </c>
      <c r="E200" s="6" t="s">
        <v>90</v>
      </c>
      <c r="F200" s="6">
        <v>164</v>
      </c>
      <c r="G200" s="6">
        <v>20</v>
      </c>
      <c r="H200" s="6">
        <v>66</v>
      </c>
      <c r="I200" s="6" t="s">
        <v>88</v>
      </c>
      <c r="J200" s="6"/>
    </row>
    <row r="201" spans="1:10" x14ac:dyDescent="0.35">
      <c r="A201" s="6" t="s">
        <v>11</v>
      </c>
      <c r="B201" s="6" t="s">
        <v>83</v>
      </c>
      <c r="C201" t="s">
        <v>125</v>
      </c>
      <c r="D201" s="10">
        <v>45945</v>
      </c>
      <c r="E201" s="6" t="s">
        <v>29</v>
      </c>
      <c r="F201" s="6">
        <v>209</v>
      </c>
      <c r="G201" s="6">
        <v>25</v>
      </c>
      <c r="H201" s="6">
        <v>125</v>
      </c>
      <c r="I201" s="6" t="s">
        <v>88</v>
      </c>
      <c r="J201" s="6"/>
    </row>
    <row r="202" spans="1:10" x14ac:dyDescent="0.35">
      <c r="A202" s="6" t="s">
        <v>11</v>
      </c>
      <c r="B202" s="6" t="s">
        <v>83</v>
      </c>
      <c r="C202" t="s">
        <v>125</v>
      </c>
      <c r="D202" s="10">
        <v>45945</v>
      </c>
      <c r="E202" s="6" t="s">
        <v>29</v>
      </c>
      <c r="F202" s="6">
        <v>196</v>
      </c>
      <c r="G202" s="6">
        <v>25</v>
      </c>
      <c r="H202" s="6">
        <v>101</v>
      </c>
      <c r="I202" s="6" t="s">
        <v>88</v>
      </c>
    </row>
    <row r="203" spans="1:10" x14ac:dyDescent="0.35">
      <c r="A203" t="s">
        <v>11</v>
      </c>
      <c r="B203" t="s">
        <v>12</v>
      </c>
      <c r="C203" t="s">
        <v>125</v>
      </c>
      <c r="D203" s="1">
        <v>45803</v>
      </c>
      <c r="E203" t="s">
        <v>7</v>
      </c>
      <c r="F203">
        <v>126</v>
      </c>
      <c r="G203">
        <v>25</v>
      </c>
      <c r="H203">
        <v>25</v>
      </c>
      <c r="I203" s="6" t="s">
        <v>88</v>
      </c>
      <c r="J203" s="6"/>
    </row>
    <row r="204" spans="1:10" x14ac:dyDescent="0.35">
      <c r="A204" s="6" t="s">
        <v>11</v>
      </c>
      <c r="B204" s="6" t="s">
        <v>12</v>
      </c>
      <c r="C204" t="s">
        <v>125</v>
      </c>
      <c r="D204" s="10">
        <v>45951</v>
      </c>
      <c r="E204" s="6" t="s">
        <v>21</v>
      </c>
      <c r="F204" s="6">
        <v>494</v>
      </c>
      <c r="G204" s="6">
        <v>80</v>
      </c>
      <c r="H204" s="6">
        <v>2390</v>
      </c>
      <c r="I204" s="6" t="s">
        <v>88</v>
      </c>
    </row>
    <row r="205" spans="1:10" x14ac:dyDescent="0.35">
      <c r="A205" t="s">
        <v>11</v>
      </c>
      <c r="B205" t="s">
        <v>12</v>
      </c>
      <c r="C205" t="s">
        <v>125</v>
      </c>
      <c r="D205" s="1">
        <v>45799</v>
      </c>
      <c r="E205" t="s">
        <v>21</v>
      </c>
      <c r="F205">
        <v>435</v>
      </c>
      <c r="G205">
        <v>70</v>
      </c>
      <c r="H205">
        <v>1810</v>
      </c>
      <c r="I205" s="6" t="s">
        <v>88</v>
      </c>
      <c r="J205" s="6"/>
    </row>
    <row r="206" spans="1:10" x14ac:dyDescent="0.35">
      <c r="A206" t="s">
        <v>11</v>
      </c>
      <c r="B206" t="s">
        <v>12</v>
      </c>
      <c r="C206" t="s">
        <v>125</v>
      </c>
      <c r="D206" s="1">
        <v>45803</v>
      </c>
      <c r="E206" t="s">
        <v>21</v>
      </c>
      <c r="F206">
        <v>414</v>
      </c>
      <c r="G206">
        <v>70</v>
      </c>
      <c r="H206">
        <v>1640</v>
      </c>
      <c r="I206" s="6" t="s">
        <v>88</v>
      </c>
    </row>
    <row r="207" spans="1:10" x14ac:dyDescent="0.35">
      <c r="A207" t="s">
        <v>11</v>
      </c>
      <c r="B207" t="s">
        <v>12</v>
      </c>
      <c r="C207" t="s">
        <v>125</v>
      </c>
      <c r="D207" s="1">
        <v>45803</v>
      </c>
      <c r="E207" t="s">
        <v>21</v>
      </c>
      <c r="F207">
        <v>398</v>
      </c>
      <c r="G207">
        <v>55</v>
      </c>
      <c r="H207">
        <v>1400</v>
      </c>
      <c r="I207" s="6" t="s">
        <v>88</v>
      </c>
      <c r="J207" s="6"/>
    </row>
    <row r="208" spans="1:10" x14ac:dyDescent="0.35">
      <c r="A208" t="s">
        <v>11</v>
      </c>
      <c r="B208" t="s">
        <v>12</v>
      </c>
      <c r="C208" t="s">
        <v>125</v>
      </c>
      <c r="D208" s="1">
        <v>45803</v>
      </c>
      <c r="E208" t="s">
        <v>21</v>
      </c>
      <c r="F208">
        <v>383</v>
      </c>
      <c r="G208">
        <v>50</v>
      </c>
      <c r="H208">
        <v>940</v>
      </c>
      <c r="I208" s="6" t="s">
        <v>88</v>
      </c>
      <c r="J208" s="6"/>
    </row>
    <row r="209" spans="1:10" x14ac:dyDescent="0.35">
      <c r="A209" t="s">
        <v>11</v>
      </c>
      <c r="B209" t="s">
        <v>12</v>
      </c>
      <c r="C209" t="s">
        <v>125</v>
      </c>
      <c r="D209" s="1">
        <v>45803</v>
      </c>
      <c r="E209" t="s">
        <v>21</v>
      </c>
      <c r="F209">
        <v>145</v>
      </c>
      <c r="G209">
        <v>20</v>
      </c>
      <c r="H209">
        <v>40</v>
      </c>
      <c r="I209" s="6" t="s">
        <v>88</v>
      </c>
      <c r="J209" s="6"/>
    </row>
    <row r="210" spans="1:10" x14ac:dyDescent="0.35">
      <c r="A210" s="6" t="s">
        <v>11</v>
      </c>
      <c r="B210" s="6" t="s">
        <v>12</v>
      </c>
      <c r="C210" t="s">
        <v>125</v>
      </c>
      <c r="D210" s="10">
        <v>45945</v>
      </c>
      <c r="E210" s="6" t="s">
        <v>91</v>
      </c>
      <c r="F210" s="6">
        <v>239</v>
      </c>
      <c r="G210" s="6">
        <v>40</v>
      </c>
      <c r="H210" s="6">
        <v>340</v>
      </c>
      <c r="I210" s="6" t="s">
        <v>88</v>
      </c>
      <c r="J210" s="6"/>
    </row>
    <row r="211" spans="1:10" x14ac:dyDescent="0.35">
      <c r="A211" s="6" t="s">
        <v>11</v>
      </c>
      <c r="B211" s="6" t="s">
        <v>12</v>
      </c>
      <c r="C211" t="s">
        <v>125</v>
      </c>
      <c r="D211" s="10">
        <v>45945</v>
      </c>
      <c r="E211" s="6" t="s">
        <v>91</v>
      </c>
      <c r="F211" s="6">
        <v>228</v>
      </c>
      <c r="G211" s="6">
        <v>30</v>
      </c>
      <c r="H211" s="6">
        <v>297</v>
      </c>
      <c r="I211" s="6" t="s">
        <v>88</v>
      </c>
      <c r="J211" s="6"/>
    </row>
    <row r="212" spans="1:10" x14ac:dyDescent="0.35">
      <c r="A212" s="6" t="s">
        <v>11</v>
      </c>
      <c r="B212" s="6" t="s">
        <v>12</v>
      </c>
      <c r="C212" t="s">
        <v>125</v>
      </c>
      <c r="D212" s="10">
        <v>45945</v>
      </c>
      <c r="E212" s="6" t="s">
        <v>91</v>
      </c>
      <c r="F212" s="6">
        <v>218</v>
      </c>
      <c r="G212" s="6">
        <v>30</v>
      </c>
      <c r="H212" s="6">
        <v>235</v>
      </c>
      <c r="I212" s="6" t="s">
        <v>88</v>
      </c>
      <c r="J212" s="6"/>
    </row>
    <row r="213" spans="1:10" x14ac:dyDescent="0.35">
      <c r="A213" s="6" t="s">
        <v>11</v>
      </c>
      <c r="B213" s="6" t="s">
        <v>12</v>
      </c>
      <c r="C213" t="s">
        <v>125</v>
      </c>
      <c r="D213" s="10">
        <v>45945</v>
      </c>
      <c r="E213" s="6" t="s">
        <v>91</v>
      </c>
      <c r="F213" s="6">
        <v>213</v>
      </c>
      <c r="G213" s="6">
        <v>30</v>
      </c>
      <c r="H213" s="6">
        <v>201</v>
      </c>
      <c r="I213" s="6" t="s">
        <v>88</v>
      </c>
      <c r="J213" s="6"/>
    </row>
    <row r="214" spans="1:10" x14ac:dyDescent="0.35">
      <c r="A214" s="6" t="s">
        <v>11</v>
      </c>
      <c r="B214" s="6" t="s">
        <v>12</v>
      </c>
      <c r="C214" t="s">
        <v>125</v>
      </c>
      <c r="D214" s="10">
        <v>45945</v>
      </c>
      <c r="E214" s="6" t="s">
        <v>91</v>
      </c>
      <c r="F214" s="6">
        <v>173</v>
      </c>
      <c r="G214" s="6">
        <v>25</v>
      </c>
      <c r="H214" s="6">
        <v>115</v>
      </c>
      <c r="I214" s="6" t="s">
        <v>88</v>
      </c>
      <c r="J214" s="6"/>
    </row>
    <row r="215" spans="1:10" x14ac:dyDescent="0.35">
      <c r="A215" s="6" t="s">
        <v>11</v>
      </c>
      <c r="B215" s="6" t="s">
        <v>12</v>
      </c>
      <c r="C215" t="s">
        <v>125</v>
      </c>
      <c r="D215" s="10">
        <v>45945</v>
      </c>
      <c r="E215" s="6" t="s">
        <v>27</v>
      </c>
      <c r="F215" s="6">
        <v>555</v>
      </c>
      <c r="G215" s="6">
        <v>75</v>
      </c>
      <c r="H215" s="6">
        <v>2120</v>
      </c>
      <c r="I215" s="6" t="s">
        <v>88</v>
      </c>
      <c r="J215" s="6"/>
    </row>
    <row r="216" spans="1:10" x14ac:dyDescent="0.35">
      <c r="A216" s="6" t="s">
        <v>11</v>
      </c>
      <c r="B216" s="6" t="s">
        <v>79</v>
      </c>
      <c r="C216" t="s">
        <v>125</v>
      </c>
      <c r="D216" s="10">
        <v>45951</v>
      </c>
      <c r="E216" s="6" t="s">
        <v>121</v>
      </c>
      <c r="F216" s="6">
        <v>896</v>
      </c>
      <c r="G216" s="6">
        <v>90</v>
      </c>
      <c r="H216" s="6">
        <v>8620</v>
      </c>
      <c r="I216" s="6" t="s">
        <v>88</v>
      </c>
      <c r="J216" s="6"/>
    </row>
    <row r="217" spans="1:10" x14ac:dyDescent="0.35">
      <c r="A217" s="6" t="s">
        <v>11</v>
      </c>
      <c r="B217" s="6" t="s">
        <v>79</v>
      </c>
      <c r="C217" t="s">
        <v>125</v>
      </c>
      <c r="D217" s="10">
        <v>45799</v>
      </c>
      <c r="E217" s="6" t="s">
        <v>21</v>
      </c>
      <c r="F217" s="6">
        <v>155</v>
      </c>
      <c r="G217" s="6">
        <v>41</v>
      </c>
      <c r="H217" s="6">
        <v>150</v>
      </c>
      <c r="I217" s="6" t="s">
        <v>88</v>
      </c>
      <c r="J217" s="6"/>
    </row>
    <row r="218" spans="1:10" x14ac:dyDescent="0.35">
      <c r="A218" t="s">
        <v>11</v>
      </c>
      <c r="B218" t="s">
        <v>79</v>
      </c>
      <c r="C218" t="s">
        <v>125</v>
      </c>
      <c r="D218" s="1">
        <v>45799</v>
      </c>
      <c r="E218" t="s">
        <v>21</v>
      </c>
      <c r="F218">
        <v>155</v>
      </c>
      <c r="G218" s="2">
        <v>15</v>
      </c>
      <c r="H218">
        <v>41</v>
      </c>
      <c r="I218" s="6" t="s">
        <v>88</v>
      </c>
      <c r="J218" s="6"/>
    </row>
    <row r="219" spans="1:10" x14ac:dyDescent="0.35">
      <c r="A219" t="s">
        <v>11</v>
      </c>
      <c r="B219" t="s">
        <v>79</v>
      </c>
      <c r="C219" t="s">
        <v>125</v>
      </c>
      <c r="D219" s="1">
        <v>45791</v>
      </c>
      <c r="E219" t="s">
        <v>28</v>
      </c>
      <c r="F219">
        <v>495</v>
      </c>
      <c r="G219">
        <v>73</v>
      </c>
      <c r="H219">
        <v>1740</v>
      </c>
      <c r="I219" s="6" t="s">
        <v>88</v>
      </c>
      <c r="J219" s="6"/>
    </row>
    <row r="220" spans="1:10" x14ac:dyDescent="0.35">
      <c r="A220" t="s">
        <v>11</v>
      </c>
      <c r="B220" t="s">
        <v>79</v>
      </c>
      <c r="C220" t="s">
        <v>125</v>
      </c>
      <c r="D220" s="1">
        <v>45791</v>
      </c>
      <c r="E220" t="s">
        <v>29</v>
      </c>
      <c r="F220">
        <v>145</v>
      </c>
      <c r="G220">
        <v>20</v>
      </c>
      <c r="H220">
        <v>31</v>
      </c>
      <c r="I220" s="6" t="s">
        <v>88</v>
      </c>
      <c r="J220" s="6"/>
    </row>
    <row r="221" spans="1:10" x14ac:dyDescent="0.35">
      <c r="A221" t="s">
        <v>11</v>
      </c>
      <c r="B221" t="s">
        <v>79</v>
      </c>
      <c r="C221" t="s">
        <v>125</v>
      </c>
      <c r="D221" s="1">
        <v>45791</v>
      </c>
      <c r="E221" t="s">
        <v>29</v>
      </c>
      <c r="F221">
        <v>113</v>
      </c>
      <c r="G221">
        <v>17</v>
      </c>
      <c r="H221">
        <v>18</v>
      </c>
      <c r="I221" s="6" t="s">
        <v>88</v>
      </c>
      <c r="J221" s="6"/>
    </row>
    <row r="222" spans="1:10" x14ac:dyDescent="0.35">
      <c r="A222" t="s">
        <v>11</v>
      </c>
      <c r="B222" t="s">
        <v>79</v>
      </c>
      <c r="C222" t="s">
        <v>125</v>
      </c>
      <c r="D222" s="1">
        <v>45791</v>
      </c>
      <c r="E222" t="s">
        <v>29</v>
      </c>
      <c r="F222">
        <v>94</v>
      </c>
      <c r="G222">
        <v>9</v>
      </c>
      <c r="H222">
        <v>18</v>
      </c>
      <c r="I222" s="6" t="s">
        <v>88</v>
      </c>
      <c r="J222" s="6"/>
    </row>
    <row r="223" spans="1:10" x14ac:dyDescent="0.35">
      <c r="A223" t="s">
        <v>11</v>
      </c>
      <c r="B223" t="s">
        <v>79</v>
      </c>
      <c r="C223" t="s">
        <v>125</v>
      </c>
      <c r="D223" s="1">
        <v>45791</v>
      </c>
      <c r="E223" t="s">
        <v>29</v>
      </c>
      <c r="F223">
        <v>93</v>
      </c>
      <c r="G223">
        <v>8</v>
      </c>
      <c r="H223">
        <v>17</v>
      </c>
      <c r="I223" s="6" t="s">
        <v>88</v>
      </c>
      <c r="J223" s="6"/>
    </row>
    <row r="224" spans="1:10" x14ac:dyDescent="0.35">
      <c r="A224" t="s">
        <v>11</v>
      </c>
      <c r="B224" t="s">
        <v>79</v>
      </c>
      <c r="C224" t="s">
        <v>125</v>
      </c>
      <c r="D224" s="1">
        <v>45791</v>
      </c>
      <c r="E224" t="s">
        <v>29</v>
      </c>
      <c r="F224">
        <v>91</v>
      </c>
      <c r="G224">
        <v>9</v>
      </c>
      <c r="H224">
        <v>15</v>
      </c>
      <c r="I224" s="6" t="s">
        <v>88</v>
      </c>
      <c r="J224" s="6"/>
    </row>
    <row r="225" spans="1:10" x14ac:dyDescent="0.35">
      <c r="A225" t="s">
        <v>11</v>
      </c>
      <c r="B225" t="s">
        <v>79</v>
      </c>
      <c r="C225" t="s">
        <v>125</v>
      </c>
      <c r="D225" s="1">
        <v>45791</v>
      </c>
      <c r="E225" t="s">
        <v>29</v>
      </c>
      <c r="F225">
        <v>77</v>
      </c>
      <c r="G225">
        <v>7</v>
      </c>
      <c r="H225">
        <v>14</v>
      </c>
      <c r="I225" s="6" t="s">
        <v>88</v>
      </c>
      <c r="J225" s="6"/>
    </row>
    <row r="226" spans="1:10" x14ac:dyDescent="0.35">
      <c r="A226" s="6" t="s">
        <v>11</v>
      </c>
      <c r="B226" s="6" t="s">
        <v>82</v>
      </c>
      <c r="C226" t="s">
        <v>125</v>
      </c>
      <c r="D226" s="10">
        <v>45951</v>
      </c>
      <c r="E226" s="6" t="s">
        <v>7</v>
      </c>
      <c r="F226" s="6">
        <v>206</v>
      </c>
      <c r="G226" s="6">
        <v>42</v>
      </c>
      <c r="H226" s="6">
        <v>89</v>
      </c>
      <c r="I226" s="13" t="s">
        <v>88</v>
      </c>
      <c r="J226" s="6"/>
    </row>
    <row r="227" spans="1:10" x14ac:dyDescent="0.35">
      <c r="A227" s="6" t="s">
        <v>11</v>
      </c>
      <c r="B227" s="6" t="s">
        <v>82</v>
      </c>
      <c r="C227" t="s">
        <v>125</v>
      </c>
      <c r="D227" s="10">
        <v>45951</v>
      </c>
      <c r="E227" s="6" t="s">
        <v>7</v>
      </c>
      <c r="F227" s="6">
        <v>141</v>
      </c>
      <c r="G227" s="6">
        <v>28</v>
      </c>
      <c r="H227" s="6">
        <v>37</v>
      </c>
      <c r="I227" s="6" t="s">
        <v>88</v>
      </c>
      <c r="J227" s="6"/>
    </row>
    <row r="228" spans="1:10" x14ac:dyDescent="0.35">
      <c r="A228" s="6" t="s">
        <v>11</v>
      </c>
      <c r="B228" s="6" t="s">
        <v>82</v>
      </c>
      <c r="C228" t="s">
        <v>125</v>
      </c>
      <c r="D228" s="10">
        <v>45951</v>
      </c>
      <c r="E228" s="6" t="s">
        <v>21</v>
      </c>
      <c r="F228" s="6">
        <v>264</v>
      </c>
      <c r="G228" s="6">
        <v>35</v>
      </c>
      <c r="H228" s="6">
        <v>300</v>
      </c>
      <c r="I228" s="6" t="s">
        <v>88</v>
      </c>
      <c r="J228" s="6"/>
    </row>
    <row r="229" spans="1:10" x14ac:dyDescent="0.35">
      <c r="A229" t="s">
        <v>11</v>
      </c>
      <c r="B229" t="s">
        <v>82</v>
      </c>
      <c r="C229" t="s">
        <v>125</v>
      </c>
      <c r="D229" s="1">
        <v>45803</v>
      </c>
      <c r="E229" t="s">
        <v>23</v>
      </c>
      <c r="F229">
        <v>620</v>
      </c>
      <c r="G229">
        <v>63</v>
      </c>
      <c r="H229">
        <v>1940</v>
      </c>
      <c r="I229" s="6" t="s">
        <v>88</v>
      </c>
    </row>
    <row r="230" spans="1:10" x14ac:dyDescent="0.35">
      <c r="A230" s="6" t="s">
        <v>11</v>
      </c>
      <c r="B230" s="6" t="s">
        <v>82</v>
      </c>
      <c r="C230" t="s">
        <v>125</v>
      </c>
      <c r="D230" s="10">
        <v>45951</v>
      </c>
      <c r="E230" s="6" t="s">
        <v>29</v>
      </c>
      <c r="F230" s="6">
        <v>202</v>
      </c>
      <c r="G230" s="6">
        <v>21</v>
      </c>
      <c r="H230" s="6">
        <v>95</v>
      </c>
      <c r="I230" s="6" t="s">
        <v>88</v>
      </c>
      <c r="J230" s="6"/>
    </row>
    <row r="231" spans="1:10" x14ac:dyDescent="0.35">
      <c r="A231" s="6" t="s">
        <v>11</v>
      </c>
      <c r="B231" s="6" t="s">
        <v>82</v>
      </c>
      <c r="C231" t="s">
        <v>125</v>
      </c>
      <c r="D231" s="10">
        <v>45951</v>
      </c>
      <c r="E231" s="6" t="s">
        <v>29</v>
      </c>
      <c r="F231" s="6">
        <v>160</v>
      </c>
      <c r="G231" s="6">
        <v>20</v>
      </c>
      <c r="H231" s="6">
        <v>43</v>
      </c>
      <c r="I231" s="6" t="s">
        <v>88</v>
      </c>
    </row>
    <row r="232" spans="1:10" x14ac:dyDescent="0.35">
      <c r="A232" t="s">
        <v>11</v>
      </c>
      <c r="B232" t="s">
        <v>82</v>
      </c>
      <c r="C232" t="s">
        <v>125</v>
      </c>
      <c r="D232" s="1">
        <v>45791</v>
      </c>
      <c r="E232" t="s">
        <v>29</v>
      </c>
      <c r="F232">
        <v>156</v>
      </c>
      <c r="G232">
        <v>25</v>
      </c>
      <c r="H232">
        <v>46</v>
      </c>
      <c r="I232" s="6" t="s">
        <v>88</v>
      </c>
      <c r="J232" s="6"/>
    </row>
    <row r="233" spans="1:10" x14ac:dyDescent="0.35">
      <c r="A233" t="s">
        <v>11</v>
      </c>
      <c r="B233" t="s">
        <v>82</v>
      </c>
      <c r="C233" t="s">
        <v>125</v>
      </c>
      <c r="D233" s="1">
        <v>45791</v>
      </c>
      <c r="E233" t="s">
        <v>29</v>
      </c>
      <c r="F233">
        <v>145</v>
      </c>
      <c r="G233">
        <v>25</v>
      </c>
      <c r="H233">
        <v>37</v>
      </c>
      <c r="I233" s="6" t="s">
        <v>88</v>
      </c>
      <c r="J233" s="6"/>
    </row>
    <row r="234" spans="1:10" x14ac:dyDescent="0.35">
      <c r="A234" t="s">
        <v>11</v>
      </c>
      <c r="B234" t="s">
        <v>82</v>
      </c>
      <c r="C234" t="s">
        <v>125</v>
      </c>
      <c r="D234" s="1">
        <v>45791</v>
      </c>
      <c r="E234" t="s">
        <v>29</v>
      </c>
      <c r="F234">
        <v>132</v>
      </c>
      <c r="G234">
        <v>22</v>
      </c>
      <c r="H234">
        <v>27</v>
      </c>
      <c r="I234" s="6" t="s">
        <v>88</v>
      </c>
      <c r="J234" s="6"/>
    </row>
    <row r="235" spans="1:10" x14ac:dyDescent="0.35">
      <c r="A235" t="s">
        <v>11</v>
      </c>
      <c r="B235" t="s">
        <v>51</v>
      </c>
      <c r="C235" t="s">
        <v>125</v>
      </c>
      <c r="D235" s="1">
        <v>45791</v>
      </c>
      <c r="E235" t="s">
        <v>13</v>
      </c>
      <c r="F235">
        <v>392</v>
      </c>
      <c r="G235">
        <v>58</v>
      </c>
      <c r="H235">
        <v>610</v>
      </c>
      <c r="I235" s="6" t="s">
        <v>113</v>
      </c>
      <c r="J235" s="6"/>
    </row>
    <row r="236" spans="1:10" x14ac:dyDescent="0.35">
      <c r="A236" t="s">
        <v>11</v>
      </c>
      <c r="B236" t="s">
        <v>51</v>
      </c>
      <c r="C236" t="s">
        <v>125</v>
      </c>
      <c r="D236" s="1">
        <v>45791</v>
      </c>
      <c r="E236" t="s">
        <v>21</v>
      </c>
      <c r="F236">
        <v>426</v>
      </c>
      <c r="G236">
        <v>74</v>
      </c>
      <c r="H236">
        <v>1700</v>
      </c>
      <c r="I236" s="2" t="s">
        <v>88</v>
      </c>
      <c r="J236" s="6"/>
    </row>
    <row r="237" spans="1:10" x14ac:dyDescent="0.35">
      <c r="A237" t="s">
        <v>11</v>
      </c>
      <c r="B237" t="s">
        <v>51</v>
      </c>
      <c r="C237" t="s">
        <v>125</v>
      </c>
      <c r="D237" s="1">
        <v>45791</v>
      </c>
      <c r="E237" t="s">
        <v>21</v>
      </c>
      <c r="F237">
        <v>380</v>
      </c>
      <c r="G237">
        <v>80</v>
      </c>
      <c r="H237">
        <v>1450</v>
      </c>
      <c r="I237" s="6" t="s">
        <v>88</v>
      </c>
      <c r="J237" s="6"/>
    </row>
    <row r="238" spans="1:10" x14ac:dyDescent="0.35">
      <c r="A238" s="6" t="s">
        <v>11</v>
      </c>
      <c r="B238" s="6" t="s">
        <v>51</v>
      </c>
      <c r="C238" t="s">
        <v>125</v>
      </c>
      <c r="D238" s="10">
        <v>45946</v>
      </c>
      <c r="E238" s="6" t="s">
        <v>21</v>
      </c>
      <c r="F238" s="6">
        <v>347</v>
      </c>
      <c r="G238" s="6">
        <v>50</v>
      </c>
      <c r="H238" s="6">
        <v>990</v>
      </c>
      <c r="I238" s="13" t="s">
        <v>88</v>
      </c>
      <c r="J238" s="6"/>
    </row>
    <row r="239" spans="1:10" x14ac:dyDescent="0.35">
      <c r="A239" t="s">
        <v>11</v>
      </c>
      <c r="B239" t="s">
        <v>51</v>
      </c>
      <c r="C239" t="s">
        <v>125</v>
      </c>
      <c r="D239" s="1">
        <v>45791</v>
      </c>
      <c r="E239" t="s">
        <v>29</v>
      </c>
      <c r="F239">
        <v>165</v>
      </c>
      <c r="G239">
        <v>25</v>
      </c>
      <c r="H239">
        <v>53</v>
      </c>
      <c r="I239" s="6" t="s">
        <v>88</v>
      </c>
      <c r="J239" s="6"/>
    </row>
    <row r="240" spans="1:10" x14ac:dyDescent="0.35">
      <c r="A240" t="s">
        <v>11</v>
      </c>
      <c r="B240" t="s">
        <v>51</v>
      </c>
      <c r="C240" t="s">
        <v>125</v>
      </c>
      <c r="D240" s="1">
        <v>45791</v>
      </c>
      <c r="E240" t="s">
        <v>29</v>
      </c>
      <c r="F240">
        <v>164</v>
      </c>
      <c r="G240">
        <v>25</v>
      </c>
      <c r="H240">
        <v>51</v>
      </c>
      <c r="I240" s="6" t="s">
        <v>113</v>
      </c>
      <c r="J240" s="6"/>
    </row>
    <row r="241" spans="1:10" x14ac:dyDescent="0.35">
      <c r="A241" s="6" t="s">
        <v>11</v>
      </c>
      <c r="B241" s="6" t="s">
        <v>51</v>
      </c>
      <c r="C241" t="s">
        <v>125</v>
      </c>
      <c r="D241" s="10">
        <v>45951</v>
      </c>
      <c r="E241" s="6" t="s">
        <v>29</v>
      </c>
      <c r="F241" s="6">
        <v>155</v>
      </c>
      <c r="G241" s="6">
        <v>18</v>
      </c>
      <c r="H241" s="6">
        <v>42</v>
      </c>
      <c r="I241" s="6" t="s">
        <v>88</v>
      </c>
      <c r="J241" s="6"/>
    </row>
    <row r="242" spans="1:10" x14ac:dyDescent="0.35">
      <c r="A242" t="s">
        <v>11</v>
      </c>
      <c r="B242" t="s">
        <v>51</v>
      </c>
      <c r="C242" t="s">
        <v>125</v>
      </c>
      <c r="D242" s="1">
        <v>45791</v>
      </c>
      <c r="E242" t="s">
        <v>29</v>
      </c>
      <c r="F242">
        <v>144</v>
      </c>
      <c r="G242">
        <v>23</v>
      </c>
      <c r="H242">
        <v>25</v>
      </c>
      <c r="I242" s="6" t="s">
        <v>88</v>
      </c>
      <c r="J242" s="6"/>
    </row>
    <row r="243" spans="1:10" x14ac:dyDescent="0.35">
      <c r="A243" t="s">
        <v>11</v>
      </c>
      <c r="B243" t="s">
        <v>73</v>
      </c>
      <c r="C243" t="s">
        <v>125</v>
      </c>
      <c r="D243" s="1">
        <v>45791</v>
      </c>
      <c r="E243" t="s">
        <v>21</v>
      </c>
      <c r="F243">
        <v>408</v>
      </c>
      <c r="G243">
        <v>68</v>
      </c>
      <c r="H243">
        <v>1470</v>
      </c>
      <c r="I243" s="6" t="s">
        <v>88</v>
      </c>
      <c r="J243" s="6"/>
    </row>
    <row r="244" spans="1:10" x14ac:dyDescent="0.35">
      <c r="A244" t="s">
        <v>11</v>
      </c>
      <c r="B244" t="s">
        <v>73</v>
      </c>
      <c r="C244" t="s">
        <v>125</v>
      </c>
      <c r="D244" s="1">
        <v>45791</v>
      </c>
      <c r="E244" t="s">
        <v>28</v>
      </c>
      <c r="F244">
        <v>493</v>
      </c>
      <c r="G244">
        <v>58</v>
      </c>
      <c r="H244">
        <v>1470</v>
      </c>
      <c r="I244" s="6" t="s">
        <v>88</v>
      </c>
      <c r="J244" s="6"/>
    </row>
    <row r="245" spans="1:10" x14ac:dyDescent="0.35">
      <c r="A245" s="6" t="s">
        <v>11</v>
      </c>
      <c r="B245" s="6" t="s">
        <v>110</v>
      </c>
      <c r="C245" t="s">
        <v>125</v>
      </c>
      <c r="D245" s="10">
        <v>45946</v>
      </c>
      <c r="E245" s="6" t="s">
        <v>7</v>
      </c>
      <c r="F245" s="6">
        <v>266</v>
      </c>
      <c r="G245" s="6">
        <v>40</v>
      </c>
      <c r="H245" s="6">
        <v>269</v>
      </c>
      <c r="I245" s="6" t="s">
        <v>88</v>
      </c>
    </row>
    <row r="246" spans="1:10" x14ac:dyDescent="0.35">
      <c r="A246" s="6" t="s">
        <v>11</v>
      </c>
      <c r="B246" s="6" t="s">
        <v>77</v>
      </c>
      <c r="C246" t="s">
        <v>125</v>
      </c>
      <c r="D246" s="10">
        <v>45944</v>
      </c>
      <c r="E246" s="6" t="s">
        <v>20</v>
      </c>
      <c r="F246" s="6">
        <v>149</v>
      </c>
      <c r="G246" s="6">
        <v>20</v>
      </c>
      <c r="H246" s="6">
        <v>60</v>
      </c>
      <c r="I246" s="6" t="s">
        <v>88</v>
      </c>
      <c r="J246" s="6"/>
    </row>
    <row r="247" spans="1:10" x14ac:dyDescent="0.35">
      <c r="A247" s="2" t="s">
        <v>11</v>
      </c>
      <c r="B247" s="2" t="s">
        <v>77</v>
      </c>
      <c r="C247" t="s">
        <v>125</v>
      </c>
      <c r="D247" s="11">
        <v>45791</v>
      </c>
      <c r="E247" s="2" t="s">
        <v>21</v>
      </c>
      <c r="F247" s="2">
        <v>470</v>
      </c>
      <c r="G247" s="2">
        <v>86</v>
      </c>
      <c r="H247" s="2">
        <v>2460</v>
      </c>
      <c r="I247" s="6" t="s">
        <v>88</v>
      </c>
    </row>
    <row r="248" spans="1:10" x14ac:dyDescent="0.35">
      <c r="A248" s="6" t="s">
        <v>11</v>
      </c>
      <c r="B248" s="6" t="s">
        <v>77</v>
      </c>
      <c r="C248" t="s">
        <v>125</v>
      </c>
      <c r="D248" s="10">
        <v>45946</v>
      </c>
      <c r="E248" s="6" t="s">
        <v>21</v>
      </c>
      <c r="F248" s="6">
        <v>465</v>
      </c>
      <c r="G248" s="6">
        <v>80</v>
      </c>
      <c r="H248" s="6">
        <v>2430</v>
      </c>
      <c r="I248" s="6" t="s">
        <v>88</v>
      </c>
      <c r="J248" s="6"/>
    </row>
    <row r="249" spans="1:10" x14ac:dyDescent="0.35">
      <c r="A249" t="s">
        <v>11</v>
      </c>
      <c r="B249" t="s">
        <v>77</v>
      </c>
      <c r="C249" t="s">
        <v>125</v>
      </c>
      <c r="D249" s="1">
        <v>45803</v>
      </c>
      <c r="E249" t="s">
        <v>21</v>
      </c>
      <c r="F249">
        <v>463</v>
      </c>
      <c r="G249">
        <v>80</v>
      </c>
      <c r="H249">
        <v>2140</v>
      </c>
      <c r="I249" s="6" t="s">
        <v>88</v>
      </c>
    </row>
    <row r="250" spans="1:10" x14ac:dyDescent="0.35">
      <c r="A250" s="6" t="s">
        <v>11</v>
      </c>
      <c r="B250" s="6" t="s">
        <v>77</v>
      </c>
      <c r="C250" t="s">
        <v>125</v>
      </c>
      <c r="D250" s="10">
        <v>45803</v>
      </c>
      <c r="E250" s="6" t="s">
        <v>21</v>
      </c>
      <c r="F250" s="6">
        <v>463</v>
      </c>
      <c r="G250" s="6">
        <v>80</v>
      </c>
      <c r="H250" s="6">
        <v>2140</v>
      </c>
      <c r="I250" t="s">
        <v>78</v>
      </c>
      <c r="J250" s="2"/>
    </row>
    <row r="251" spans="1:10" x14ac:dyDescent="0.35">
      <c r="A251" s="6" t="s">
        <v>11</v>
      </c>
      <c r="B251" s="6" t="s">
        <v>77</v>
      </c>
      <c r="C251" t="s">
        <v>125</v>
      </c>
      <c r="D251" s="10">
        <v>45944</v>
      </c>
      <c r="E251" s="6" t="s">
        <v>21</v>
      </c>
      <c r="F251" s="6">
        <v>235</v>
      </c>
      <c r="G251" s="6">
        <v>40</v>
      </c>
      <c r="H251" s="6">
        <v>225</v>
      </c>
      <c r="I251" s="6" t="s">
        <v>88</v>
      </c>
      <c r="J251" s="6"/>
    </row>
    <row r="252" spans="1:10" x14ac:dyDescent="0.35">
      <c r="A252" s="6" t="s">
        <v>11</v>
      </c>
      <c r="B252" s="6" t="s">
        <v>77</v>
      </c>
      <c r="C252" t="s">
        <v>125</v>
      </c>
      <c r="D252" s="10">
        <v>45944</v>
      </c>
      <c r="E252" s="6" t="s">
        <v>97</v>
      </c>
      <c r="F252" s="6">
        <v>107</v>
      </c>
      <c r="G252" s="6">
        <v>17</v>
      </c>
      <c r="H252" s="6">
        <v>15</v>
      </c>
      <c r="I252" s="6" t="s">
        <v>88</v>
      </c>
      <c r="J252" s="6"/>
    </row>
    <row r="253" spans="1:10" x14ac:dyDescent="0.35">
      <c r="A253" s="6" t="s">
        <v>11</v>
      </c>
      <c r="B253" s="6" t="s">
        <v>77</v>
      </c>
      <c r="C253" t="s">
        <v>125</v>
      </c>
      <c r="D253" s="10">
        <v>45946</v>
      </c>
      <c r="E253" s="6" t="s">
        <v>27</v>
      </c>
      <c r="F253" s="6">
        <v>560</v>
      </c>
      <c r="G253" s="6">
        <v>80</v>
      </c>
      <c r="H253" s="6">
        <v>2170</v>
      </c>
      <c r="I253" s="6" t="s">
        <v>88</v>
      </c>
      <c r="J253" s="6"/>
    </row>
    <row r="254" spans="1:10" x14ac:dyDescent="0.35">
      <c r="A254" t="s">
        <v>11</v>
      </c>
      <c r="B254" t="s">
        <v>77</v>
      </c>
      <c r="C254" t="s">
        <v>125</v>
      </c>
      <c r="D254" s="1">
        <v>45791</v>
      </c>
      <c r="E254" t="s">
        <v>27</v>
      </c>
      <c r="F254">
        <v>260</v>
      </c>
      <c r="G254">
        <v>39</v>
      </c>
      <c r="H254">
        <v>260</v>
      </c>
      <c r="I254" s="6" t="s">
        <v>88</v>
      </c>
    </row>
    <row r="255" spans="1:10" x14ac:dyDescent="0.35">
      <c r="A255" t="s">
        <v>11</v>
      </c>
      <c r="B255" t="s">
        <v>77</v>
      </c>
      <c r="C255" t="s">
        <v>125</v>
      </c>
      <c r="D255" s="1">
        <v>45791</v>
      </c>
      <c r="E255" t="s">
        <v>28</v>
      </c>
      <c r="F255">
        <v>436</v>
      </c>
      <c r="G255">
        <v>67</v>
      </c>
      <c r="H255">
        <v>1090</v>
      </c>
      <c r="I255" s="13" t="s">
        <v>88</v>
      </c>
      <c r="J255" s="6"/>
    </row>
    <row r="256" spans="1:10" x14ac:dyDescent="0.35">
      <c r="A256" t="s">
        <v>11</v>
      </c>
      <c r="B256" t="s">
        <v>77</v>
      </c>
      <c r="C256" t="s">
        <v>125</v>
      </c>
      <c r="D256" s="1">
        <v>45791</v>
      </c>
      <c r="E256" t="s">
        <v>28</v>
      </c>
      <c r="F256">
        <v>402</v>
      </c>
      <c r="G256">
        <v>59</v>
      </c>
      <c r="H256">
        <v>930</v>
      </c>
      <c r="I256" s="6" t="s">
        <v>88</v>
      </c>
    </row>
    <row r="257" spans="1:10" x14ac:dyDescent="0.35">
      <c r="A257" t="s">
        <v>11</v>
      </c>
      <c r="B257" t="s">
        <v>55</v>
      </c>
      <c r="C257" t="s">
        <v>125</v>
      </c>
      <c r="D257" s="1">
        <v>45791</v>
      </c>
      <c r="E257" t="s">
        <v>13</v>
      </c>
      <c r="F257">
        <v>610</v>
      </c>
      <c r="G257">
        <v>74</v>
      </c>
      <c r="H257">
        <v>2070</v>
      </c>
      <c r="I257" s="6" t="s">
        <v>88</v>
      </c>
    </row>
    <row r="258" spans="1:10" x14ac:dyDescent="0.35">
      <c r="A258" t="s">
        <v>11</v>
      </c>
      <c r="B258" t="s">
        <v>55</v>
      </c>
      <c r="C258" t="s">
        <v>125</v>
      </c>
      <c r="D258" s="1">
        <v>45791</v>
      </c>
      <c r="E258" t="s">
        <v>18</v>
      </c>
      <c r="F258">
        <v>555</v>
      </c>
      <c r="G258">
        <v>99</v>
      </c>
      <c r="H258">
        <v>3020</v>
      </c>
      <c r="I258" s="6" t="s">
        <v>88</v>
      </c>
    </row>
    <row r="259" spans="1:10" x14ac:dyDescent="0.35">
      <c r="A259" t="s">
        <v>11</v>
      </c>
      <c r="B259" t="s">
        <v>55</v>
      </c>
      <c r="C259" t="s">
        <v>125</v>
      </c>
      <c r="D259" s="1">
        <v>45791</v>
      </c>
      <c r="E259" t="s">
        <v>21</v>
      </c>
      <c r="F259">
        <v>458</v>
      </c>
      <c r="G259">
        <v>68</v>
      </c>
      <c r="H259">
        <v>1680</v>
      </c>
      <c r="I259" s="6" t="s">
        <v>88</v>
      </c>
      <c r="J259" s="6"/>
    </row>
    <row r="260" spans="1:10" x14ac:dyDescent="0.35">
      <c r="A260" t="s">
        <v>11</v>
      </c>
      <c r="B260" t="s">
        <v>55</v>
      </c>
      <c r="C260" t="s">
        <v>125</v>
      </c>
      <c r="D260" s="1">
        <v>45799</v>
      </c>
      <c r="E260" t="s">
        <v>21</v>
      </c>
      <c r="F260">
        <v>450</v>
      </c>
      <c r="G260">
        <v>70</v>
      </c>
      <c r="H260">
        <v>2000</v>
      </c>
      <c r="I260" s="6" t="s">
        <v>88</v>
      </c>
    </row>
    <row r="261" spans="1:10" x14ac:dyDescent="0.35">
      <c r="A261" s="6" t="s">
        <v>11</v>
      </c>
      <c r="B261" s="6" t="s">
        <v>55</v>
      </c>
      <c r="C261" t="s">
        <v>125</v>
      </c>
      <c r="D261" s="10">
        <v>45944</v>
      </c>
      <c r="E261" s="6" t="s">
        <v>91</v>
      </c>
      <c r="F261" s="6">
        <v>142</v>
      </c>
      <c r="G261" s="6">
        <v>25</v>
      </c>
      <c r="H261" s="6">
        <v>61</v>
      </c>
      <c r="I261" s="6" t="s">
        <v>88</v>
      </c>
      <c r="J261" s="6"/>
    </row>
    <row r="262" spans="1:10" x14ac:dyDescent="0.35">
      <c r="A262" t="s">
        <v>11</v>
      </c>
      <c r="B262" t="s">
        <v>55</v>
      </c>
      <c r="C262" t="s">
        <v>125</v>
      </c>
      <c r="D262" s="1">
        <v>45791</v>
      </c>
      <c r="E262" t="s">
        <v>24</v>
      </c>
      <c r="F262">
        <v>104</v>
      </c>
      <c r="G262">
        <v>15</v>
      </c>
      <c r="H262">
        <v>18</v>
      </c>
      <c r="I262" s="6" t="s">
        <v>88</v>
      </c>
      <c r="J262" s="6"/>
    </row>
    <row r="263" spans="1:10" x14ac:dyDescent="0.35">
      <c r="A263" s="6" t="s">
        <v>11</v>
      </c>
      <c r="B263" s="6" t="s">
        <v>55</v>
      </c>
      <c r="C263" t="s">
        <v>125</v>
      </c>
      <c r="D263" s="10">
        <v>45944</v>
      </c>
      <c r="E263" s="6" t="s">
        <v>27</v>
      </c>
      <c r="F263" s="6">
        <v>610</v>
      </c>
      <c r="G263" s="6">
        <v>100</v>
      </c>
      <c r="H263" s="6">
        <v>3222</v>
      </c>
      <c r="I263" s="6" t="s">
        <v>88</v>
      </c>
      <c r="J263" s="6"/>
    </row>
    <row r="264" spans="1:10" x14ac:dyDescent="0.35">
      <c r="A264" t="s">
        <v>11</v>
      </c>
      <c r="B264" t="s">
        <v>55</v>
      </c>
      <c r="C264" t="s">
        <v>125</v>
      </c>
      <c r="D264" s="1">
        <v>45791</v>
      </c>
      <c r="E264" t="s">
        <v>27</v>
      </c>
      <c r="F264">
        <v>602</v>
      </c>
      <c r="G264">
        <v>79</v>
      </c>
      <c r="H264">
        <v>2670</v>
      </c>
      <c r="I264" s="6" t="s">
        <v>88</v>
      </c>
      <c r="J264" s="6"/>
    </row>
    <row r="265" spans="1:10" x14ac:dyDescent="0.35">
      <c r="A265" s="13" t="s">
        <v>11</v>
      </c>
      <c r="B265" s="13" t="s">
        <v>55</v>
      </c>
      <c r="C265" s="13" t="s">
        <v>125</v>
      </c>
      <c r="D265" s="14">
        <v>45946</v>
      </c>
      <c r="E265" s="13" t="s">
        <v>29</v>
      </c>
      <c r="F265" s="13">
        <v>246</v>
      </c>
      <c r="G265" s="13">
        <v>30</v>
      </c>
      <c r="H265" s="13">
        <v>219</v>
      </c>
      <c r="I265" s="6" t="s">
        <v>88</v>
      </c>
    </row>
    <row r="266" spans="1:10" x14ac:dyDescent="0.35">
      <c r="A266" t="s">
        <v>11</v>
      </c>
      <c r="B266" t="s">
        <v>55</v>
      </c>
      <c r="C266" t="s">
        <v>125</v>
      </c>
      <c r="D266" s="1">
        <v>45791</v>
      </c>
      <c r="E266" t="s">
        <v>29</v>
      </c>
      <c r="F266">
        <v>116</v>
      </c>
      <c r="G266">
        <v>16</v>
      </c>
      <c r="H266">
        <v>19</v>
      </c>
      <c r="I266" s="6" t="s">
        <v>88</v>
      </c>
    </row>
    <row r="267" spans="1:10" x14ac:dyDescent="0.35">
      <c r="A267" t="s">
        <v>11</v>
      </c>
      <c r="B267" t="s">
        <v>55</v>
      </c>
      <c r="C267" t="s">
        <v>125</v>
      </c>
      <c r="D267" s="1">
        <v>45791</v>
      </c>
      <c r="E267" t="s">
        <v>29</v>
      </c>
      <c r="F267">
        <v>115</v>
      </c>
      <c r="G267">
        <v>17</v>
      </c>
      <c r="H267">
        <v>20</v>
      </c>
      <c r="I267" s="13" t="s">
        <v>88</v>
      </c>
      <c r="J267" s="6"/>
    </row>
    <row r="268" spans="1:10" x14ac:dyDescent="0.35">
      <c r="A268" s="2" t="s">
        <v>11</v>
      </c>
      <c r="B268" s="2" t="s">
        <v>85</v>
      </c>
      <c r="C268" t="s">
        <v>125</v>
      </c>
      <c r="D268" s="11">
        <v>45791</v>
      </c>
      <c r="E268" s="2" t="s">
        <v>27</v>
      </c>
      <c r="F268" s="2">
        <v>605</v>
      </c>
      <c r="G268" s="2">
        <v>85</v>
      </c>
      <c r="H268" s="2">
        <v>2790</v>
      </c>
      <c r="I268" s="6" t="s">
        <v>88</v>
      </c>
    </row>
    <row r="269" spans="1:10" x14ac:dyDescent="0.35">
      <c r="A269" t="s">
        <v>11</v>
      </c>
      <c r="B269" t="s">
        <v>75</v>
      </c>
      <c r="C269" t="s">
        <v>125</v>
      </c>
      <c r="D269" s="1">
        <v>45799</v>
      </c>
      <c r="E269" t="s">
        <v>21</v>
      </c>
      <c r="F269">
        <v>417</v>
      </c>
      <c r="G269">
        <v>65</v>
      </c>
      <c r="H269">
        <v>1500</v>
      </c>
      <c r="I269" s="6" t="s">
        <v>88</v>
      </c>
      <c r="J269" s="6" t="s">
        <v>74</v>
      </c>
    </row>
    <row r="270" spans="1:10" x14ac:dyDescent="0.35">
      <c r="A270" s="6" t="s">
        <v>11</v>
      </c>
      <c r="B270" s="6" t="s">
        <v>75</v>
      </c>
      <c r="C270" t="s">
        <v>125</v>
      </c>
      <c r="D270" s="10">
        <v>45946</v>
      </c>
      <c r="E270" s="6" t="s">
        <v>21</v>
      </c>
      <c r="F270" s="6">
        <v>240</v>
      </c>
      <c r="G270" s="6">
        <v>30</v>
      </c>
      <c r="H270" s="6">
        <v>219</v>
      </c>
      <c r="I270" s="6" t="s">
        <v>88</v>
      </c>
    </row>
    <row r="271" spans="1:10" x14ac:dyDescent="0.35">
      <c r="A271" s="6" t="s">
        <v>11</v>
      </c>
      <c r="B271" s="6" t="s">
        <v>75</v>
      </c>
      <c r="C271" t="s">
        <v>125</v>
      </c>
      <c r="D271" s="10">
        <v>45946</v>
      </c>
      <c r="E271" s="6" t="s">
        <v>91</v>
      </c>
      <c r="F271" s="6">
        <v>196</v>
      </c>
      <c r="G271" s="6">
        <v>25</v>
      </c>
      <c r="H271" s="6">
        <v>153</v>
      </c>
      <c r="I271" s="6" t="s">
        <v>88</v>
      </c>
      <c r="J271" s="6"/>
    </row>
    <row r="272" spans="1:10" x14ac:dyDescent="0.35">
      <c r="A272" s="6" t="s">
        <v>11</v>
      </c>
      <c r="B272" s="6" t="s">
        <v>75</v>
      </c>
      <c r="C272" t="s">
        <v>125</v>
      </c>
      <c r="D272" s="10">
        <v>45946</v>
      </c>
      <c r="E272" s="6" t="s">
        <v>91</v>
      </c>
      <c r="F272" s="6">
        <v>95</v>
      </c>
      <c r="G272" s="6">
        <v>14</v>
      </c>
      <c r="H272" s="6">
        <v>15</v>
      </c>
      <c r="I272" s="6" t="s">
        <v>88</v>
      </c>
      <c r="J272" s="6"/>
    </row>
    <row r="273" spans="1:10" x14ac:dyDescent="0.35">
      <c r="A273" s="2" t="s">
        <v>11</v>
      </c>
      <c r="B273" s="2" t="s">
        <v>45</v>
      </c>
      <c r="C273" s="2" t="s">
        <v>125</v>
      </c>
      <c r="D273" s="11">
        <v>45799</v>
      </c>
      <c r="E273" s="2" t="s">
        <v>10</v>
      </c>
      <c r="F273" s="2">
        <v>511</v>
      </c>
      <c r="G273" s="2">
        <v>650</v>
      </c>
      <c r="H273" s="2">
        <v>1330</v>
      </c>
      <c r="I273" s="6" t="s">
        <v>88</v>
      </c>
    </row>
    <row r="274" spans="1:10" x14ac:dyDescent="0.35">
      <c r="A274" s="2" t="s">
        <v>11</v>
      </c>
      <c r="B274" s="2" t="s">
        <v>45</v>
      </c>
      <c r="C274" s="2" t="s">
        <v>125</v>
      </c>
      <c r="D274" s="11">
        <v>45799</v>
      </c>
      <c r="E274" s="2" t="s">
        <v>10</v>
      </c>
      <c r="F274" s="2">
        <v>420</v>
      </c>
      <c r="G274" s="2">
        <v>450</v>
      </c>
      <c r="H274" s="2">
        <v>750</v>
      </c>
      <c r="I274" s="2" t="s">
        <v>49</v>
      </c>
      <c r="J274" s="6"/>
    </row>
    <row r="275" spans="1:10" x14ac:dyDescent="0.35">
      <c r="A275" t="s">
        <v>11</v>
      </c>
      <c r="B275" t="s">
        <v>45</v>
      </c>
      <c r="C275" t="s">
        <v>125</v>
      </c>
      <c r="D275" s="1">
        <v>45791</v>
      </c>
      <c r="E275" t="s">
        <v>21</v>
      </c>
      <c r="F275">
        <v>424</v>
      </c>
      <c r="G275">
        <v>76</v>
      </c>
      <c r="H275">
        <v>1610</v>
      </c>
      <c r="I275" s="6" t="s">
        <v>88</v>
      </c>
      <c r="J275" s="6"/>
    </row>
    <row r="276" spans="1:10" x14ac:dyDescent="0.35">
      <c r="A276" t="s">
        <v>11</v>
      </c>
      <c r="B276" t="s">
        <v>45</v>
      </c>
      <c r="C276" t="s">
        <v>125</v>
      </c>
      <c r="D276" s="1">
        <v>45791</v>
      </c>
      <c r="E276" t="s">
        <v>21</v>
      </c>
      <c r="F276">
        <v>405</v>
      </c>
      <c r="G276">
        <v>76</v>
      </c>
      <c r="H276">
        <v>1620</v>
      </c>
      <c r="I276" s="6" t="s">
        <v>88</v>
      </c>
      <c r="J276" s="6"/>
    </row>
    <row r="277" spans="1:10" x14ac:dyDescent="0.35">
      <c r="A277" t="s">
        <v>11</v>
      </c>
      <c r="B277" t="s">
        <v>45</v>
      </c>
      <c r="C277" t="s">
        <v>125</v>
      </c>
      <c r="D277" s="1">
        <v>45791</v>
      </c>
      <c r="E277" t="s">
        <v>26</v>
      </c>
      <c r="F277">
        <v>155</v>
      </c>
      <c r="G277">
        <v>22</v>
      </c>
      <c r="H277">
        <v>40</v>
      </c>
      <c r="I277" t="s">
        <v>80</v>
      </c>
      <c r="J277" s="6"/>
    </row>
    <row r="278" spans="1:10" x14ac:dyDescent="0.35">
      <c r="A278" t="s">
        <v>11</v>
      </c>
      <c r="B278" t="s">
        <v>45</v>
      </c>
      <c r="C278" t="s">
        <v>125</v>
      </c>
      <c r="D278" s="1">
        <v>45791</v>
      </c>
      <c r="E278" t="s">
        <v>28</v>
      </c>
      <c r="F278">
        <v>532</v>
      </c>
      <c r="G278">
        <v>64</v>
      </c>
      <c r="H278">
        <v>1910</v>
      </c>
      <c r="I278" s="6" t="s">
        <v>88</v>
      </c>
    </row>
    <row r="279" spans="1:10" x14ac:dyDescent="0.35">
      <c r="A279" s="6" t="s">
        <v>11</v>
      </c>
      <c r="B279" s="6" t="s">
        <v>45</v>
      </c>
      <c r="C279" t="s">
        <v>125</v>
      </c>
      <c r="D279" s="10">
        <v>45944</v>
      </c>
      <c r="E279" s="6" t="s">
        <v>29</v>
      </c>
      <c r="F279" s="6">
        <v>171</v>
      </c>
      <c r="G279" s="6">
        <v>25</v>
      </c>
      <c r="H279" s="6">
        <v>70</v>
      </c>
      <c r="I279" s="6" t="s">
        <v>88</v>
      </c>
      <c r="J279" s="2"/>
    </row>
    <row r="280" spans="1:10" x14ac:dyDescent="0.35">
      <c r="A280" s="6" t="s">
        <v>11</v>
      </c>
      <c r="B280" s="6" t="s">
        <v>81</v>
      </c>
      <c r="C280" t="s">
        <v>125</v>
      </c>
      <c r="D280" s="10">
        <v>45944</v>
      </c>
      <c r="E280" s="6" t="s">
        <v>13</v>
      </c>
      <c r="F280" s="6">
        <v>556</v>
      </c>
      <c r="G280" s="6">
        <v>85</v>
      </c>
      <c r="H280" s="6">
        <v>1970</v>
      </c>
      <c r="I280" s="6" t="s">
        <v>88</v>
      </c>
      <c r="J280" s="6" t="s">
        <v>70</v>
      </c>
    </row>
    <row r="281" spans="1:10" x14ac:dyDescent="0.35">
      <c r="A281" s="6" t="s">
        <v>11</v>
      </c>
      <c r="B281" s="6" t="s">
        <v>81</v>
      </c>
      <c r="C281" t="s">
        <v>125</v>
      </c>
      <c r="D281" s="10">
        <v>45944</v>
      </c>
      <c r="E281" s="6" t="s">
        <v>13</v>
      </c>
      <c r="F281" s="6">
        <v>339</v>
      </c>
      <c r="G281" s="6">
        <v>45</v>
      </c>
      <c r="H281" s="6">
        <v>366</v>
      </c>
      <c r="I281" s="13" t="s">
        <v>88</v>
      </c>
      <c r="J281" s="6" t="s">
        <v>65</v>
      </c>
    </row>
    <row r="282" spans="1:10" x14ac:dyDescent="0.35">
      <c r="A282" s="6" t="s">
        <v>11</v>
      </c>
      <c r="B282" s="6" t="s">
        <v>81</v>
      </c>
      <c r="C282" t="s">
        <v>125</v>
      </c>
      <c r="D282" s="10">
        <v>45944</v>
      </c>
      <c r="E282" s="6" t="s">
        <v>20</v>
      </c>
      <c r="F282" s="6">
        <v>385</v>
      </c>
      <c r="G282" s="6">
        <v>40</v>
      </c>
      <c r="H282" s="6">
        <v>840</v>
      </c>
      <c r="I282" s="6" t="s">
        <v>88</v>
      </c>
      <c r="J282" s="6"/>
    </row>
    <row r="283" spans="1:10" x14ac:dyDescent="0.35">
      <c r="A283" s="6" t="s">
        <v>11</v>
      </c>
      <c r="B283" s="6" t="s">
        <v>81</v>
      </c>
      <c r="C283" t="s">
        <v>125</v>
      </c>
      <c r="D283" s="10">
        <v>45944</v>
      </c>
      <c r="E283" s="6" t="s">
        <v>21</v>
      </c>
      <c r="F283" s="6">
        <v>344</v>
      </c>
      <c r="G283" s="6">
        <v>55</v>
      </c>
      <c r="H283" s="6">
        <v>900</v>
      </c>
      <c r="I283" s="6" t="s">
        <v>88</v>
      </c>
      <c r="J283" s="6"/>
    </row>
    <row r="284" spans="1:10" x14ac:dyDescent="0.35">
      <c r="A284" s="6" t="s">
        <v>11</v>
      </c>
      <c r="B284" s="6" t="s">
        <v>81</v>
      </c>
      <c r="C284" t="s">
        <v>125</v>
      </c>
      <c r="D284" s="10">
        <v>45946</v>
      </c>
      <c r="E284" s="6" t="s">
        <v>21</v>
      </c>
      <c r="F284" s="6">
        <v>300</v>
      </c>
      <c r="G284" s="6">
        <v>40</v>
      </c>
      <c r="H284" s="6">
        <v>550</v>
      </c>
      <c r="I284" s="6" t="s">
        <v>88</v>
      </c>
      <c r="J284" s="6"/>
    </row>
    <row r="285" spans="1:10" x14ac:dyDescent="0.35">
      <c r="A285" s="6" t="s">
        <v>11</v>
      </c>
      <c r="B285" s="6" t="s">
        <v>81</v>
      </c>
      <c r="C285" t="s">
        <v>125</v>
      </c>
      <c r="D285" s="10">
        <v>45944</v>
      </c>
      <c r="E285" s="6" t="s">
        <v>21</v>
      </c>
      <c r="F285" s="6">
        <v>285</v>
      </c>
      <c r="G285" s="6">
        <v>45</v>
      </c>
      <c r="H285" s="6">
        <v>419</v>
      </c>
      <c r="I285" s="6" t="s">
        <v>88</v>
      </c>
      <c r="J285" s="6"/>
    </row>
    <row r="286" spans="1:10" x14ac:dyDescent="0.35">
      <c r="A286" s="6" t="s">
        <v>11</v>
      </c>
      <c r="B286" s="6" t="s">
        <v>81</v>
      </c>
      <c r="C286" t="s">
        <v>125</v>
      </c>
      <c r="D286" s="10">
        <v>45946</v>
      </c>
      <c r="E286" s="6" t="s">
        <v>21</v>
      </c>
      <c r="F286" s="6">
        <v>283</v>
      </c>
      <c r="G286" s="6">
        <v>40</v>
      </c>
      <c r="H286" s="6">
        <v>370</v>
      </c>
      <c r="I286" s="6" t="s">
        <v>88</v>
      </c>
      <c r="J286" s="6" t="s">
        <v>67</v>
      </c>
    </row>
    <row r="287" spans="1:10" x14ac:dyDescent="0.35">
      <c r="A287" s="6" t="s">
        <v>11</v>
      </c>
      <c r="B287" s="6" t="s">
        <v>81</v>
      </c>
      <c r="C287" t="s">
        <v>125</v>
      </c>
      <c r="D287" s="10">
        <v>45946</v>
      </c>
      <c r="E287" s="6" t="s">
        <v>21</v>
      </c>
      <c r="F287" s="6">
        <v>262</v>
      </c>
      <c r="G287" s="6">
        <v>40</v>
      </c>
      <c r="H287" s="6">
        <v>380</v>
      </c>
      <c r="I287" s="6" t="s">
        <v>88</v>
      </c>
      <c r="J287" s="6"/>
    </row>
    <row r="288" spans="1:10" x14ac:dyDescent="0.35">
      <c r="A288" s="6" t="s">
        <v>11</v>
      </c>
      <c r="B288" s="6" t="s">
        <v>81</v>
      </c>
      <c r="C288" t="s">
        <v>125</v>
      </c>
      <c r="D288" s="10">
        <v>45946</v>
      </c>
      <c r="E288" s="6" t="s">
        <v>21</v>
      </c>
      <c r="F288" s="6">
        <v>223</v>
      </c>
      <c r="G288" s="6">
        <v>30</v>
      </c>
      <c r="H288" s="6">
        <v>137</v>
      </c>
      <c r="I288" s="6" t="s">
        <v>88</v>
      </c>
      <c r="J288" s="6"/>
    </row>
    <row r="289" spans="1:10" x14ac:dyDescent="0.35">
      <c r="A289" t="s">
        <v>11</v>
      </c>
      <c r="B289" t="s">
        <v>81</v>
      </c>
      <c r="C289" t="s">
        <v>125</v>
      </c>
      <c r="D289" s="1">
        <v>45792</v>
      </c>
      <c r="E289" t="s">
        <v>21</v>
      </c>
      <c r="F289">
        <v>185</v>
      </c>
      <c r="G289" s="2">
        <v>25</v>
      </c>
      <c r="H289" s="2">
        <v>91</v>
      </c>
      <c r="I289" s="6" t="s">
        <v>88</v>
      </c>
    </row>
    <row r="290" spans="1:10" x14ac:dyDescent="0.35">
      <c r="A290" s="6" t="s">
        <v>11</v>
      </c>
      <c r="B290" s="6" t="s">
        <v>81</v>
      </c>
      <c r="C290" t="s">
        <v>125</v>
      </c>
      <c r="D290" s="10">
        <v>45946</v>
      </c>
      <c r="E290" s="6" t="s">
        <v>91</v>
      </c>
      <c r="F290" s="6">
        <v>254</v>
      </c>
      <c r="G290" s="6">
        <v>35</v>
      </c>
      <c r="H290" s="6">
        <v>319</v>
      </c>
      <c r="I290" s="6" t="s">
        <v>88</v>
      </c>
    </row>
    <row r="291" spans="1:10" x14ac:dyDescent="0.35">
      <c r="A291" s="6" t="s">
        <v>11</v>
      </c>
      <c r="B291" s="6" t="s">
        <v>81</v>
      </c>
      <c r="C291" t="s">
        <v>125</v>
      </c>
      <c r="D291" s="10">
        <v>45946</v>
      </c>
      <c r="E291" s="6" t="s">
        <v>27</v>
      </c>
      <c r="F291" s="6">
        <v>615</v>
      </c>
      <c r="G291" s="6">
        <v>85</v>
      </c>
      <c r="H291" s="6">
        <v>2740</v>
      </c>
      <c r="I291" s="6" t="s">
        <v>88</v>
      </c>
    </row>
    <row r="292" spans="1:10" x14ac:dyDescent="0.35">
      <c r="A292" s="6" t="s">
        <v>11</v>
      </c>
      <c r="B292" s="6" t="s">
        <v>81</v>
      </c>
      <c r="C292" t="s">
        <v>125</v>
      </c>
      <c r="D292" s="10">
        <v>45944</v>
      </c>
      <c r="E292" s="6" t="s">
        <v>27</v>
      </c>
      <c r="F292" s="6">
        <v>584</v>
      </c>
      <c r="G292" s="6">
        <v>90</v>
      </c>
      <c r="H292" s="6">
        <v>2630</v>
      </c>
      <c r="I292" s="6" t="s">
        <v>88</v>
      </c>
      <c r="J292" s="6"/>
    </row>
    <row r="293" spans="1:10" x14ac:dyDescent="0.35">
      <c r="A293" t="s">
        <v>11</v>
      </c>
      <c r="B293" t="s">
        <v>81</v>
      </c>
      <c r="C293" t="s">
        <v>125</v>
      </c>
      <c r="D293" s="1">
        <v>45792</v>
      </c>
      <c r="E293" t="s">
        <v>27</v>
      </c>
      <c r="F293">
        <v>579</v>
      </c>
      <c r="G293">
        <v>98</v>
      </c>
      <c r="H293">
        <v>2750</v>
      </c>
      <c r="I293" s="6" t="s">
        <v>88</v>
      </c>
      <c r="J293" s="6"/>
    </row>
    <row r="294" spans="1:10" x14ac:dyDescent="0.35">
      <c r="A294" s="6" t="s">
        <v>11</v>
      </c>
      <c r="B294" s="6" t="s">
        <v>81</v>
      </c>
      <c r="C294" t="s">
        <v>125</v>
      </c>
      <c r="D294" s="10">
        <v>45944</v>
      </c>
      <c r="E294" s="6" t="s">
        <v>29</v>
      </c>
      <c r="F294" s="6">
        <v>196</v>
      </c>
      <c r="G294" s="6">
        <v>25</v>
      </c>
      <c r="H294" s="6">
        <v>104</v>
      </c>
      <c r="I294" s="6" t="s">
        <v>88</v>
      </c>
      <c r="J294" s="6"/>
    </row>
    <row r="295" spans="1:10" x14ac:dyDescent="0.35">
      <c r="A295" s="6" t="s">
        <v>11</v>
      </c>
      <c r="B295" s="6" t="s">
        <v>104</v>
      </c>
      <c r="C295" t="s">
        <v>125</v>
      </c>
      <c r="D295" s="10">
        <v>45944</v>
      </c>
      <c r="E295" s="6" t="s">
        <v>29</v>
      </c>
      <c r="F295" s="6">
        <v>102</v>
      </c>
      <c r="G295" s="6">
        <v>15</v>
      </c>
      <c r="H295" s="6">
        <v>15</v>
      </c>
      <c r="I295" s="6" t="s">
        <v>88</v>
      </c>
    </row>
    <row r="296" spans="1:10" x14ac:dyDescent="0.35">
      <c r="A296" s="6" t="s">
        <v>11</v>
      </c>
      <c r="B296" s="6" t="s">
        <v>105</v>
      </c>
      <c r="C296" t="s">
        <v>125</v>
      </c>
      <c r="D296" s="10">
        <v>45944</v>
      </c>
      <c r="E296" s="6" t="s">
        <v>106</v>
      </c>
      <c r="F296" s="6">
        <v>100</v>
      </c>
      <c r="G296" s="6">
        <v>10</v>
      </c>
      <c r="H296" s="6">
        <v>10</v>
      </c>
      <c r="I296" s="6" t="s">
        <v>88</v>
      </c>
    </row>
    <row r="297" spans="1:10" x14ac:dyDescent="0.35">
      <c r="A297" s="6" t="s">
        <v>11</v>
      </c>
      <c r="B297" s="6" t="s">
        <v>107</v>
      </c>
      <c r="C297" t="s">
        <v>125</v>
      </c>
      <c r="D297" s="10">
        <v>45944</v>
      </c>
      <c r="E297" s="6" t="s">
        <v>106</v>
      </c>
      <c r="F297" s="6">
        <v>94</v>
      </c>
      <c r="G297" s="6">
        <v>7</v>
      </c>
      <c r="H297" s="6">
        <v>10</v>
      </c>
      <c r="I297" s="6" t="s">
        <v>88</v>
      </c>
    </row>
    <row r="298" spans="1:10" x14ac:dyDescent="0.35">
      <c r="A298" s="6" t="s">
        <v>11</v>
      </c>
      <c r="B298" s="6" t="s">
        <v>102</v>
      </c>
      <c r="C298" t="s">
        <v>125</v>
      </c>
      <c r="D298" s="10">
        <v>45946</v>
      </c>
      <c r="E298" s="6" t="s">
        <v>21</v>
      </c>
      <c r="F298" s="6">
        <v>192</v>
      </c>
      <c r="G298" s="6">
        <v>27</v>
      </c>
      <c r="H298" s="6">
        <v>109</v>
      </c>
      <c r="I298" s="6" t="s">
        <v>88</v>
      </c>
      <c r="J298" s="6"/>
    </row>
    <row r="299" spans="1:10" x14ac:dyDescent="0.35">
      <c r="A299" s="6" t="s">
        <v>11</v>
      </c>
      <c r="B299" s="6" t="s">
        <v>86</v>
      </c>
      <c r="C299" t="s">
        <v>125</v>
      </c>
      <c r="D299" s="10">
        <v>45791</v>
      </c>
      <c r="E299" s="6" t="s">
        <v>27</v>
      </c>
      <c r="F299" s="6">
        <v>710</v>
      </c>
      <c r="G299" s="6"/>
      <c r="H299" s="6">
        <v>4400</v>
      </c>
      <c r="I299" s="6" t="s">
        <v>88</v>
      </c>
      <c r="J299" s="6"/>
    </row>
    <row r="300" spans="1:10" x14ac:dyDescent="0.35">
      <c r="A300" s="6" t="s">
        <v>11</v>
      </c>
      <c r="B300" s="6" t="s">
        <v>86</v>
      </c>
      <c r="C300" t="s">
        <v>125</v>
      </c>
      <c r="D300" s="10">
        <v>45791</v>
      </c>
      <c r="E300" s="6" t="s">
        <v>27</v>
      </c>
      <c r="F300" s="6">
        <v>671</v>
      </c>
      <c r="G300" s="6"/>
      <c r="H300" s="6">
        <v>3250</v>
      </c>
    </row>
    <row r="301" spans="1:10" x14ac:dyDescent="0.35">
      <c r="A301" t="s">
        <v>4</v>
      </c>
      <c r="B301" t="s">
        <v>31</v>
      </c>
      <c r="C301" t="s">
        <v>125</v>
      </c>
      <c r="D301" s="1">
        <v>45792</v>
      </c>
      <c r="E301" t="s">
        <v>7</v>
      </c>
      <c r="F301">
        <v>345</v>
      </c>
      <c r="G301">
        <v>63</v>
      </c>
      <c r="H301">
        <v>670</v>
      </c>
      <c r="I301" s="13" t="s">
        <v>88</v>
      </c>
    </row>
    <row r="302" spans="1:10" x14ac:dyDescent="0.35">
      <c r="A302" s="6" t="s">
        <v>4</v>
      </c>
      <c r="B302" s="6" t="s">
        <v>64</v>
      </c>
      <c r="C302" t="s">
        <v>125</v>
      </c>
      <c r="D302" s="10">
        <v>45792</v>
      </c>
      <c r="E302" s="6" t="s">
        <v>18</v>
      </c>
      <c r="F302" s="6">
        <v>588</v>
      </c>
      <c r="G302" s="6">
        <v>88</v>
      </c>
      <c r="H302" s="6">
        <v>3000</v>
      </c>
      <c r="I302" s="2" t="s">
        <v>65</v>
      </c>
    </row>
    <row r="303" spans="1:10" x14ac:dyDescent="0.35">
      <c r="A303" t="s">
        <v>4</v>
      </c>
      <c r="B303" t="s">
        <v>64</v>
      </c>
      <c r="C303" t="s">
        <v>125</v>
      </c>
      <c r="D303" s="1">
        <v>45859</v>
      </c>
      <c r="E303" t="s">
        <v>19</v>
      </c>
      <c r="F303">
        <v>283</v>
      </c>
      <c r="G303">
        <v>50</v>
      </c>
      <c r="H303">
        <v>530</v>
      </c>
      <c r="I303" s="6" t="s">
        <v>88</v>
      </c>
      <c r="J303" s="6"/>
    </row>
    <row r="304" spans="1:10" x14ac:dyDescent="0.35">
      <c r="A304" t="s">
        <v>4</v>
      </c>
      <c r="B304" t="s">
        <v>64</v>
      </c>
      <c r="C304" t="s">
        <v>125</v>
      </c>
      <c r="D304" s="1">
        <v>45859</v>
      </c>
      <c r="E304" t="s">
        <v>19</v>
      </c>
      <c r="F304">
        <v>279</v>
      </c>
      <c r="G304">
        <v>60</v>
      </c>
      <c r="H304">
        <v>630</v>
      </c>
      <c r="I304" s="6" t="s">
        <v>88</v>
      </c>
      <c r="J304" s="6"/>
    </row>
    <row r="305" spans="1:10" x14ac:dyDescent="0.35">
      <c r="A305" t="s">
        <v>4</v>
      </c>
      <c r="B305" t="s">
        <v>64</v>
      </c>
      <c r="C305" t="s">
        <v>125</v>
      </c>
      <c r="D305" s="1">
        <v>45859</v>
      </c>
      <c r="E305" t="s">
        <v>19</v>
      </c>
      <c r="F305">
        <v>265</v>
      </c>
      <c r="G305">
        <v>40</v>
      </c>
      <c r="H305">
        <v>470</v>
      </c>
      <c r="I305" s="6" t="s">
        <v>88</v>
      </c>
    </row>
    <row r="306" spans="1:10" x14ac:dyDescent="0.35">
      <c r="A306" t="s">
        <v>4</v>
      </c>
      <c r="B306" t="s">
        <v>87</v>
      </c>
      <c r="C306" t="s">
        <v>125</v>
      </c>
      <c r="D306" s="1">
        <v>45792</v>
      </c>
      <c r="E306" t="s">
        <v>29</v>
      </c>
      <c r="F306">
        <v>112</v>
      </c>
      <c r="G306">
        <v>18</v>
      </c>
      <c r="H306">
        <v>27</v>
      </c>
      <c r="I306" s="6" t="s">
        <v>88</v>
      </c>
      <c r="J306" s="6" t="s">
        <v>49</v>
      </c>
    </row>
    <row r="307" spans="1:10" x14ac:dyDescent="0.35">
      <c r="A307" t="s">
        <v>4</v>
      </c>
      <c r="B307" t="s">
        <v>87</v>
      </c>
      <c r="C307" t="s">
        <v>125</v>
      </c>
      <c r="D307" s="1">
        <v>45792</v>
      </c>
      <c r="E307" t="s">
        <v>29</v>
      </c>
      <c r="F307">
        <v>105</v>
      </c>
      <c r="G307">
        <v>18</v>
      </c>
      <c r="H307">
        <v>19</v>
      </c>
      <c r="I307" s="6" t="s">
        <v>88</v>
      </c>
      <c r="J307" s="6"/>
    </row>
    <row r="308" spans="1:10" x14ac:dyDescent="0.35">
      <c r="A308" t="s">
        <v>4</v>
      </c>
      <c r="B308" t="s">
        <v>32</v>
      </c>
      <c r="C308" t="s">
        <v>125</v>
      </c>
      <c r="D308" s="1">
        <v>45792</v>
      </c>
      <c r="E308" t="s">
        <v>7</v>
      </c>
      <c r="F308">
        <v>326</v>
      </c>
      <c r="G308">
        <v>41</v>
      </c>
      <c r="H308">
        <v>500</v>
      </c>
      <c r="I308" s="6" t="s">
        <v>88</v>
      </c>
    </row>
    <row r="309" spans="1:10" x14ac:dyDescent="0.35">
      <c r="A309" t="s">
        <v>4</v>
      </c>
      <c r="B309" t="s">
        <v>32</v>
      </c>
      <c r="C309" t="s">
        <v>125</v>
      </c>
      <c r="D309" s="1">
        <v>45792</v>
      </c>
      <c r="E309" t="s">
        <v>7</v>
      </c>
      <c r="F309">
        <v>300</v>
      </c>
      <c r="G309">
        <v>51</v>
      </c>
      <c r="H309">
        <v>413</v>
      </c>
      <c r="I309" s="13" t="s">
        <v>88</v>
      </c>
    </row>
    <row r="310" spans="1:10" x14ac:dyDescent="0.35">
      <c r="A310" t="s">
        <v>4</v>
      </c>
      <c r="B310" t="s">
        <v>32</v>
      </c>
      <c r="C310" t="s">
        <v>125</v>
      </c>
      <c r="D310" s="1">
        <v>45792</v>
      </c>
      <c r="E310" t="s">
        <v>7</v>
      </c>
      <c r="F310">
        <v>278</v>
      </c>
      <c r="G310">
        <v>50</v>
      </c>
      <c r="H310">
        <v>348</v>
      </c>
      <c r="I310" s="6" t="s">
        <v>88</v>
      </c>
    </row>
    <row r="311" spans="1:10" x14ac:dyDescent="0.35">
      <c r="A311" t="s">
        <v>4</v>
      </c>
      <c r="B311" t="s">
        <v>32</v>
      </c>
      <c r="C311" t="s">
        <v>125</v>
      </c>
      <c r="D311" s="1">
        <v>45792</v>
      </c>
      <c r="E311" t="s">
        <v>7</v>
      </c>
      <c r="F311">
        <v>275</v>
      </c>
      <c r="G311">
        <v>42</v>
      </c>
      <c r="H311">
        <v>208</v>
      </c>
      <c r="I311" s="6" t="s">
        <v>88</v>
      </c>
      <c r="J311" s="6"/>
    </row>
    <row r="312" spans="1:10" x14ac:dyDescent="0.35">
      <c r="A312" t="s">
        <v>4</v>
      </c>
      <c r="B312" t="s">
        <v>32</v>
      </c>
      <c r="C312" t="s">
        <v>125</v>
      </c>
      <c r="D312" s="1">
        <v>45792</v>
      </c>
      <c r="E312" t="s">
        <v>19</v>
      </c>
      <c r="F312">
        <v>290</v>
      </c>
      <c r="G312">
        <v>66</v>
      </c>
      <c r="H312">
        <v>719</v>
      </c>
      <c r="I312" s="6" t="s">
        <v>88</v>
      </c>
    </row>
    <row r="313" spans="1:10" x14ac:dyDescent="0.35">
      <c r="A313" t="s">
        <v>4</v>
      </c>
      <c r="B313" t="s">
        <v>5</v>
      </c>
      <c r="C313" t="s">
        <v>125</v>
      </c>
      <c r="D313" s="1">
        <v>45803</v>
      </c>
      <c r="E313" t="s">
        <v>7</v>
      </c>
      <c r="F313">
        <v>377</v>
      </c>
      <c r="G313">
        <v>72</v>
      </c>
      <c r="H313">
        <v>450</v>
      </c>
      <c r="I313" s="6" t="s">
        <v>88</v>
      </c>
      <c r="J313" s="6"/>
    </row>
    <row r="314" spans="1:10" x14ac:dyDescent="0.35">
      <c r="A314" t="s">
        <v>4</v>
      </c>
      <c r="B314" t="s">
        <v>5</v>
      </c>
      <c r="C314" t="s">
        <v>125</v>
      </c>
      <c r="D314" s="1">
        <v>45792</v>
      </c>
      <c r="E314" t="s">
        <v>7</v>
      </c>
      <c r="F314">
        <v>318</v>
      </c>
      <c r="G314">
        <v>45</v>
      </c>
      <c r="H314">
        <v>460</v>
      </c>
      <c r="I314" s="6" t="s">
        <v>88</v>
      </c>
      <c r="J314" s="6"/>
    </row>
    <row r="315" spans="1:10" x14ac:dyDescent="0.35">
      <c r="A315" t="s">
        <v>4</v>
      </c>
      <c r="B315" t="s">
        <v>5</v>
      </c>
      <c r="C315" t="s">
        <v>125</v>
      </c>
      <c r="D315" s="1">
        <v>45792</v>
      </c>
      <c r="E315" t="s">
        <v>7</v>
      </c>
      <c r="F315">
        <v>295</v>
      </c>
      <c r="G315">
        <v>50</v>
      </c>
      <c r="H315">
        <v>386</v>
      </c>
      <c r="I315" s="13" t="s">
        <v>88</v>
      </c>
    </row>
    <row r="316" spans="1:10" x14ac:dyDescent="0.35">
      <c r="A316" s="6" t="s">
        <v>4</v>
      </c>
      <c r="B316" s="6" t="s">
        <v>5</v>
      </c>
      <c r="C316" t="s">
        <v>125</v>
      </c>
      <c r="D316" s="10">
        <v>45792</v>
      </c>
      <c r="E316" s="6" t="s">
        <v>7</v>
      </c>
      <c r="F316" s="6">
        <v>295</v>
      </c>
      <c r="G316" s="6">
        <v>50</v>
      </c>
      <c r="H316" s="6">
        <v>386</v>
      </c>
      <c r="I316" s="2" t="s">
        <v>43</v>
      </c>
      <c r="J316" s="6"/>
    </row>
    <row r="317" spans="1:10" x14ac:dyDescent="0.35">
      <c r="A317" t="s">
        <v>4</v>
      </c>
      <c r="B317" t="s">
        <v>5</v>
      </c>
      <c r="C317" t="s">
        <v>125</v>
      </c>
      <c r="D317" s="1">
        <v>45792</v>
      </c>
      <c r="E317" t="s">
        <v>19</v>
      </c>
      <c r="F317">
        <v>271</v>
      </c>
      <c r="G317">
        <v>57</v>
      </c>
      <c r="H317">
        <v>516</v>
      </c>
      <c r="I317" s="6" t="s">
        <v>88</v>
      </c>
      <c r="J317" s="6"/>
    </row>
    <row r="318" spans="1:10" x14ac:dyDescent="0.35">
      <c r="A318" t="s">
        <v>4</v>
      </c>
      <c r="B318" t="s">
        <v>5</v>
      </c>
      <c r="C318" t="s">
        <v>125</v>
      </c>
      <c r="D318" s="1">
        <v>45792</v>
      </c>
      <c r="E318" t="s">
        <v>19</v>
      </c>
      <c r="F318">
        <v>267</v>
      </c>
      <c r="G318">
        <v>54</v>
      </c>
      <c r="H318">
        <v>632</v>
      </c>
      <c r="I318" s="6" t="s">
        <v>88</v>
      </c>
    </row>
    <row r="319" spans="1:10" x14ac:dyDescent="0.35">
      <c r="A319" t="s">
        <v>4</v>
      </c>
      <c r="B319" t="s">
        <v>9</v>
      </c>
      <c r="C319" t="s">
        <v>125</v>
      </c>
      <c r="D319" s="1">
        <v>45803</v>
      </c>
      <c r="E319" t="s">
        <v>7</v>
      </c>
      <c r="F319">
        <v>360</v>
      </c>
      <c r="G319">
        <v>80</v>
      </c>
      <c r="H319">
        <v>615</v>
      </c>
      <c r="I319" s="13" t="s">
        <v>88</v>
      </c>
      <c r="J319" s="6"/>
    </row>
    <row r="320" spans="1:10" x14ac:dyDescent="0.35">
      <c r="A320" t="s">
        <v>4</v>
      </c>
      <c r="B320" t="s">
        <v>9</v>
      </c>
      <c r="C320" t="s">
        <v>125</v>
      </c>
      <c r="D320" s="1">
        <v>45803</v>
      </c>
      <c r="E320" t="s">
        <v>7</v>
      </c>
      <c r="F320">
        <v>342</v>
      </c>
      <c r="G320">
        <v>65</v>
      </c>
      <c r="H320">
        <v>558</v>
      </c>
      <c r="I320" s="6" t="s">
        <v>88</v>
      </c>
      <c r="J320" s="6"/>
    </row>
    <row r="321" spans="1:10" x14ac:dyDescent="0.35">
      <c r="A321" t="s">
        <v>4</v>
      </c>
      <c r="B321" t="s">
        <v>9</v>
      </c>
      <c r="C321" t="s">
        <v>125</v>
      </c>
      <c r="D321" s="1">
        <v>45792</v>
      </c>
      <c r="E321" t="s">
        <v>7</v>
      </c>
      <c r="F321">
        <v>335</v>
      </c>
      <c r="G321">
        <v>49</v>
      </c>
      <c r="H321">
        <v>540</v>
      </c>
      <c r="I321" s="6" t="s">
        <v>88</v>
      </c>
    </row>
    <row r="322" spans="1:10" x14ac:dyDescent="0.35">
      <c r="A322" t="s">
        <v>4</v>
      </c>
      <c r="B322" t="s">
        <v>9</v>
      </c>
      <c r="C322" t="s">
        <v>125</v>
      </c>
      <c r="D322" s="1">
        <v>45792</v>
      </c>
      <c r="E322" t="s">
        <v>7</v>
      </c>
      <c r="F322">
        <v>325</v>
      </c>
      <c r="G322">
        <v>55</v>
      </c>
      <c r="H322">
        <v>590</v>
      </c>
      <c r="I322" s="6" t="s">
        <v>88</v>
      </c>
      <c r="J322" s="6"/>
    </row>
    <row r="323" spans="1:10" x14ac:dyDescent="0.35">
      <c r="A323" t="s">
        <v>4</v>
      </c>
      <c r="B323" t="s">
        <v>9</v>
      </c>
      <c r="C323" t="s">
        <v>125</v>
      </c>
      <c r="D323" s="1">
        <v>45792</v>
      </c>
      <c r="E323" t="s">
        <v>7</v>
      </c>
      <c r="F323">
        <v>316</v>
      </c>
      <c r="G323">
        <v>46</v>
      </c>
      <c r="H323">
        <v>481</v>
      </c>
      <c r="I323" s="6" t="s">
        <v>88</v>
      </c>
      <c r="J323" s="6"/>
    </row>
    <row r="324" spans="1:10" x14ac:dyDescent="0.35">
      <c r="A324" t="s">
        <v>4</v>
      </c>
      <c r="B324" t="s">
        <v>9</v>
      </c>
      <c r="C324" t="s">
        <v>125</v>
      </c>
      <c r="D324" s="1">
        <v>45792</v>
      </c>
      <c r="E324" t="s">
        <v>7</v>
      </c>
      <c r="F324">
        <v>315</v>
      </c>
      <c r="G324">
        <v>45</v>
      </c>
      <c r="H324">
        <v>420</v>
      </c>
      <c r="I324" s="6" t="s">
        <v>88</v>
      </c>
    </row>
    <row r="325" spans="1:10" x14ac:dyDescent="0.35">
      <c r="A325" t="s">
        <v>4</v>
      </c>
      <c r="B325" t="s">
        <v>9</v>
      </c>
      <c r="C325" t="s">
        <v>125</v>
      </c>
      <c r="D325" s="1">
        <v>45792</v>
      </c>
      <c r="E325" t="s">
        <v>7</v>
      </c>
      <c r="F325">
        <v>295</v>
      </c>
      <c r="G325">
        <v>48</v>
      </c>
      <c r="H325">
        <v>399</v>
      </c>
      <c r="I325" s="6" t="s">
        <v>88</v>
      </c>
      <c r="J325" s="6"/>
    </row>
    <row r="326" spans="1:10" x14ac:dyDescent="0.35">
      <c r="A326" t="s">
        <v>4</v>
      </c>
      <c r="B326" t="s">
        <v>9</v>
      </c>
      <c r="C326" t="s">
        <v>125</v>
      </c>
      <c r="D326" s="1">
        <v>45792</v>
      </c>
      <c r="E326" t="s">
        <v>7</v>
      </c>
      <c r="F326">
        <v>280</v>
      </c>
      <c r="G326">
        <v>45</v>
      </c>
      <c r="H326">
        <v>346</v>
      </c>
      <c r="I326" s="6" t="s">
        <v>88</v>
      </c>
      <c r="J326" s="6"/>
    </row>
    <row r="327" spans="1:10" x14ac:dyDescent="0.35">
      <c r="A327" t="s">
        <v>4</v>
      </c>
      <c r="B327" t="s">
        <v>9</v>
      </c>
      <c r="C327" t="s">
        <v>125</v>
      </c>
      <c r="D327" s="1">
        <v>45792</v>
      </c>
      <c r="E327" t="s">
        <v>19</v>
      </c>
      <c r="F327">
        <v>286</v>
      </c>
      <c r="G327">
        <v>63</v>
      </c>
      <c r="H327">
        <v>638</v>
      </c>
      <c r="I327" s="6" t="s">
        <v>88</v>
      </c>
      <c r="J327" s="6"/>
    </row>
    <row r="328" spans="1:10" x14ac:dyDescent="0.35">
      <c r="A328" t="s">
        <v>4</v>
      </c>
      <c r="B328" t="s">
        <v>9</v>
      </c>
      <c r="C328" t="s">
        <v>125</v>
      </c>
      <c r="D328" s="1">
        <v>45792</v>
      </c>
      <c r="E328" t="s">
        <v>19</v>
      </c>
      <c r="F328">
        <v>268</v>
      </c>
      <c r="G328">
        <v>52</v>
      </c>
      <c r="H328">
        <v>459</v>
      </c>
      <c r="I328" s="6" t="s">
        <v>88</v>
      </c>
      <c r="J328" s="6"/>
    </row>
    <row r="329" spans="1:10" x14ac:dyDescent="0.35">
      <c r="A329" s="6" t="s">
        <v>4</v>
      </c>
      <c r="B329" s="6" t="s">
        <v>9</v>
      </c>
      <c r="C329" t="s">
        <v>125</v>
      </c>
      <c r="D329" s="10">
        <v>45792</v>
      </c>
      <c r="E329" s="6" t="s">
        <v>19</v>
      </c>
      <c r="F329" s="6">
        <v>268</v>
      </c>
      <c r="G329" s="6">
        <v>52</v>
      </c>
      <c r="H329" s="6">
        <v>459</v>
      </c>
      <c r="I329" s="2" t="s">
        <v>70</v>
      </c>
      <c r="J329" s="6"/>
    </row>
    <row r="330" spans="1:10" x14ac:dyDescent="0.35">
      <c r="A330" t="s">
        <v>4</v>
      </c>
      <c r="B330" t="s">
        <v>9</v>
      </c>
      <c r="C330" t="s">
        <v>125</v>
      </c>
      <c r="D330" s="1">
        <v>45792</v>
      </c>
      <c r="E330" t="s">
        <v>19</v>
      </c>
      <c r="F330">
        <v>251</v>
      </c>
      <c r="G330">
        <v>54</v>
      </c>
      <c r="H330">
        <v>412</v>
      </c>
      <c r="I330" s="6" t="s">
        <v>88</v>
      </c>
      <c r="J330" s="6"/>
    </row>
    <row r="331" spans="1:10" x14ac:dyDescent="0.35">
      <c r="A331" t="s">
        <v>4</v>
      </c>
      <c r="B331" t="s">
        <v>9</v>
      </c>
      <c r="C331" t="s">
        <v>125</v>
      </c>
      <c r="D331" s="1">
        <v>45792</v>
      </c>
      <c r="E331" t="s">
        <v>19</v>
      </c>
      <c r="F331">
        <v>235</v>
      </c>
      <c r="G331">
        <v>45</v>
      </c>
      <c r="H331">
        <v>317</v>
      </c>
      <c r="I331" s="6" t="s">
        <v>88</v>
      </c>
    </row>
    <row r="332" spans="1:10" x14ac:dyDescent="0.35">
      <c r="A332" t="s">
        <v>4</v>
      </c>
      <c r="B332" t="s">
        <v>9</v>
      </c>
      <c r="C332" t="s">
        <v>125</v>
      </c>
      <c r="D332" s="1">
        <v>45792</v>
      </c>
      <c r="E332" t="s">
        <v>19</v>
      </c>
      <c r="F332">
        <v>212</v>
      </c>
      <c r="G332">
        <v>45</v>
      </c>
      <c r="H332">
        <v>255</v>
      </c>
      <c r="I332" s="6" t="s">
        <v>88</v>
      </c>
      <c r="J332" s="6"/>
    </row>
    <row r="333" spans="1:10" x14ac:dyDescent="0.35">
      <c r="A333" t="s">
        <v>4</v>
      </c>
      <c r="B333" t="s">
        <v>9</v>
      </c>
      <c r="C333" t="s">
        <v>125</v>
      </c>
      <c r="D333" s="1">
        <v>45792</v>
      </c>
      <c r="E333" t="s">
        <v>29</v>
      </c>
      <c r="F333">
        <v>172</v>
      </c>
      <c r="G333">
        <v>27</v>
      </c>
      <c r="H333">
        <v>74</v>
      </c>
      <c r="I333" s="6" t="s">
        <v>88</v>
      </c>
    </row>
    <row r="334" spans="1:10" x14ac:dyDescent="0.35">
      <c r="A334" t="s">
        <v>4</v>
      </c>
      <c r="B334" t="s">
        <v>9</v>
      </c>
      <c r="C334" t="s">
        <v>125</v>
      </c>
      <c r="D334" s="1">
        <v>45792</v>
      </c>
      <c r="E334" t="s">
        <v>29</v>
      </c>
      <c r="F334">
        <v>116</v>
      </c>
      <c r="G334">
        <v>21</v>
      </c>
      <c r="H334">
        <v>24</v>
      </c>
      <c r="I334" s="6" t="s">
        <v>88</v>
      </c>
      <c r="J334" s="6"/>
    </row>
    <row r="335" spans="1:10" x14ac:dyDescent="0.35">
      <c r="A335" t="s">
        <v>4</v>
      </c>
      <c r="B335" t="s">
        <v>25</v>
      </c>
      <c r="C335" t="s">
        <v>125</v>
      </c>
      <c r="D335" s="1">
        <v>45792</v>
      </c>
      <c r="E335" t="s">
        <v>7</v>
      </c>
      <c r="F335">
        <v>367</v>
      </c>
      <c r="G335">
        <v>70</v>
      </c>
      <c r="H335">
        <v>790</v>
      </c>
      <c r="I335" s="6" t="s">
        <v>88</v>
      </c>
      <c r="J335" s="6"/>
    </row>
    <row r="336" spans="1:10" x14ac:dyDescent="0.35">
      <c r="A336" t="s">
        <v>4</v>
      </c>
      <c r="B336" t="s">
        <v>25</v>
      </c>
      <c r="C336" t="s">
        <v>125</v>
      </c>
      <c r="D336" s="1">
        <v>45792</v>
      </c>
      <c r="E336" t="s">
        <v>7</v>
      </c>
      <c r="F336">
        <v>329</v>
      </c>
      <c r="G336">
        <v>51</v>
      </c>
      <c r="H336">
        <v>540</v>
      </c>
      <c r="I336" s="6" t="s">
        <v>88</v>
      </c>
    </row>
    <row r="337" spans="1:10" x14ac:dyDescent="0.35">
      <c r="A337" t="s">
        <v>4</v>
      </c>
      <c r="B337" t="s">
        <v>25</v>
      </c>
      <c r="C337" t="s">
        <v>125</v>
      </c>
      <c r="D337" s="1">
        <v>45792</v>
      </c>
      <c r="E337" t="s">
        <v>7</v>
      </c>
      <c r="F337">
        <v>325</v>
      </c>
      <c r="G337">
        <v>58</v>
      </c>
      <c r="H337">
        <v>580</v>
      </c>
      <c r="I337" s="6" t="s">
        <v>88</v>
      </c>
      <c r="J337" s="6"/>
    </row>
    <row r="338" spans="1:10" x14ac:dyDescent="0.35">
      <c r="A338" t="s">
        <v>4</v>
      </c>
      <c r="B338" t="s">
        <v>25</v>
      </c>
      <c r="C338" t="s">
        <v>125</v>
      </c>
      <c r="D338" s="1">
        <v>45792</v>
      </c>
      <c r="E338" t="s">
        <v>7</v>
      </c>
      <c r="F338">
        <v>320</v>
      </c>
      <c r="G338">
        <v>51</v>
      </c>
      <c r="H338">
        <v>402</v>
      </c>
      <c r="I338" s="6" t="s">
        <v>88</v>
      </c>
    </row>
    <row r="339" spans="1:10" x14ac:dyDescent="0.35">
      <c r="A339" t="s">
        <v>4</v>
      </c>
      <c r="B339" t="s">
        <v>25</v>
      </c>
      <c r="C339" t="s">
        <v>125</v>
      </c>
      <c r="D339" s="1">
        <v>45792</v>
      </c>
      <c r="E339" t="s">
        <v>7</v>
      </c>
      <c r="F339">
        <v>314</v>
      </c>
      <c r="G339">
        <v>52</v>
      </c>
      <c r="H339">
        <v>570</v>
      </c>
      <c r="I339" s="6" t="s">
        <v>88</v>
      </c>
      <c r="J339" s="6"/>
    </row>
    <row r="340" spans="1:10" x14ac:dyDescent="0.35">
      <c r="A340" t="s">
        <v>4</v>
      </c>
      <c r="B340" t="s">
        <v>25</v>
      </c>
      <c r="C340" t="s">
        <v>125</v>
      </c>
      <c r="D340" s="1">
        <v>45792</v>
      </c>
      <c r="E340" t="s">
        <v>7</v>
      </c>
      <c r="F340">
        <v>302</v>
      </c>
      <c r="G340">
        <v>49</v>
      </c>
      <c r="H340">
        <v>440</v>
      </c>
      <c r="I340" s="6" t="s">
        <v>88</v>
      </c>
    </row>
    <row r="341" spans="1:10" x14ac:dyDescent="0.35">
      <c r="A341" t="s">
        <v>4</v>
      </c>
      <c r="B341" t="s">
        <v>25</v>
      </c>
      <c r="C341" t="s">
        <v>125</v>
      </c>
      <c r="D341" s="1">
        <v>45792</v>
      </c>
      <c r="E341" t="s">
        <v>7</v>
      </c>
      <c r="F341">
        <v>284</v>
      </c>
      <c r="G341">
        <v>54</v>
      </c>
      <c r="H341">
        <v>340</v>
      </c>
      <c r="I341" s="6" t="s">
        <v>88</v>
      </c>
    </row>
    <row r="342" spans="1:10" x14ac:dyDescent="0.35">
      <c r="A342" t="s">
        <v>4</v>
      </c>
      <c r="B342" t="s">
        <v>25</v>
      </c>
      <c r="C342" t="s">
        <v>125</v>
      </c>
      <c r="D342" s="1">
        <v>45792</v>
      </c>
      <c r="E342" t="s">
        <v>19</v>
      </c>
      <c r="F342">
        <v>280</v>
      </c>
      <c r="G342">
        <v>60</v>
      </c>
      <c r="H342">
        <v>563</v>
      </c>
      <c r="I342" s="6" t="s">
        <v>88</v>
      </c>
      <c r="J342" s="6"/>
    </row>
    <row r="343" spans="1:10" x14ac:dyDescent="0.35">
      <c r="A343" t="s">
        <v>4</v>
      </c>
      <c r="B343" t="s">
        <v>25</v>
      </c>
      <c r="C343" t="s">
        <v>125</v>
      </c>
      <c r="D343" s="1">
        <v>45792</v>
      </c>
      <c r="E343" t="s">
        <v>19</v>
      </c>
      <c r="F343">
        <v>266</v>
      </c>
      <c r="G343">
        <v>59</v>
      </c>
      <c r="H343">
        <v>519</v>
      </c>
      <c r="I343" s="6" t="s">
        <v>88</v>
      </c>
    </row>
    <row r="344" spans="1:10" x14ac:dyDescent="0.35">
      <c r="A344" t="s">
        <v>4</v>
      </c>
      <c r="B344" t="s">
        <v>25</v>
      </c>
      <c r="C344" t="s">
        <v>125</v>
      </c>
      <c r="D344" s="1">
        <v>45792</v>
      </c>
      <c r="E344" t="s">
        <v>19</v>
      </c>
      <c r="F344">
        <v>265</v>
      </c>
      <c r="G344">
        <v>54</v>
      </c>
      <c r="H344">
        <v>489</v>
      </c>
      <c r="I344" s="6" t="s">
        <v>88</v>
      </c>
    </row>
    <row r="345" spans="1:10" x14ac:dyDescent="0.35">
      <c r="A345" t="s">
        <v>4</v>
      </c>
      <c r="B345" t="s">
        <v>25</v>
      </c>
      <c r="C345" t="s">
        <v>125</v>
      </c>
      <c r="D345" s="1">
        <v>45792</v>
      </c>
      <c r="E345" t="s">
        <v>29</v>
      </c>
      <c r="F345">
        <v>160</v>
      </c>
      <c r="G345">
        <v>26</v>
      </c>
      <c r="H345">
        <v>53</v>
      </c>
      <c r="I345" s="13" t="s">
        <v>88</v>
      </c>
      <c r="J345" s="6"/>
    </row>
    <row r="346" spans="1:10" x14ac:dyDescent="0.35">
      <c r="A346" t="s">
        <v>4</v>
      </c>
      <c r="B346" t="s">
        <v>17</v>
      </c>
      <c r="C346" t="s">
        <v>125</v>
      </c>
      <c r="D346" s="1">
        <v>45792</v>
      </c>
      <c r="E346" t="s">
        <v>7</v>
      </c>
      <c r="F346">
        <v>400</v>
      </c>
      <c r="G346">
        <v>65</v>
      </c>
      <c r="H346">
        <v>493</v>
      </c>
      <c r="I346" s="6" t="s">
        <v>88</v>
      </c>
      <c r="J346" s="6"/>
    </row>
    <row r="347" spans="1:10" x14ac:dyDescent="0.35">
      <c r="A347" t="s">
        <v>4</v>
      </c>
      <c r="B347" t="s">
        <v>17</v>
      </c>
      <c r="C347" t="s">
        <v>125</v>
      </c>
      <c r="D347" s="1">
        <v>45792</v>
      </c>
      <c r="E347" t="s">
        <v>7</v>
      </c>
      <c r="F347">
        <v>349</v>
      </c>
      <c r="G347">
        <v>72</v>
      </c>
      <c r="H347">
        <v>680</v>
      </c>
      <c r="I347" s="6" t="s">
        <v>88</v>
      </c>
      <c r="J347" s="6"/>
    </row>
    <row r="348" spans="1:10" x14ac:dyDescent="0.35">
      <c r="A348" t="s">
        <v>4</v>
      </c>
      <c r="B348" t="s">
        <v>17</v>
      </c>
      <c r="C348" t="s">
        <v>125</v>
      </c>
      <c r="D348" s="1">
        <v>45792</v>
      </c>
      <c r="E348" t="s">
        <v>7</v>
      </c>
      <c r="F348">
        <v>342</v>
      </c>
      <c r="G348">
        <v>65</v>
      </c>
      <c r="H348">
        <v>568</v>
      </c>
      <c r="I348" s="6" t="s">
        <v>88</v>
      </c>
      <c r="J348" s="6"/>
    </row>
    <row r="349" spans="1:10" x14ac:dyDescent="0.35">
      <c r="A349" t="s">
        <v>4</v>
      </c>
      <c r="B349" t="s">
        <v>17</v>
      </c>
      <c r="C349" t="s">
        <v>125</v>
      </c>
      <c r="D349" s="1">
        <v>45792</v>
      </c>
      <c r="E349" t="s">
        <v>7</v>
      </c>
      <c r="F349">
        <v>331</v>
      </c>
      <c r="G349">
        <v>65</v>
      </c>
      <c r="H349">
        <v>566</v>
      </c>
      <c r="I349" s="13" t="s">
        <v>88</v>
      </c>
      <c r="J349" s="6"/>
    </row>
    <row r="350" spans="1:10" x14ac:dyDescent="0.35">
      <c r="A350" t="s">
        <v>4</v>
      </c>
      <c r="B350" t="s">
        <v>22</v>
      </c>
      <c r="C350" t="s">
        <v>125</v>
      </c>
      <c r="D350" s="1">
        <v>45792</v>
      </c>
      <c r="E350" t="s">
        <v>7</v>
      </c>
      <c r="F350">
        <v>356</v>
      </c>
      <c r="G350">
        <v>74</v>
      </c>
      <c r="H350">
        <v>710</v>
      </c>
      <c r="I350" s="6" t="s">
        <v>88</v>
      </c>
      <c r="J350" s="6"/>
    </row>
    <row r="351" spans="1:10" x14ac:dyDescent="0.35">
      <c r="A351" t="s">
        <v>4</v>
      </c>
      <c r="B351" t="s">
        <v>22</v>
      </c>
      <c r="C351" t="s">
        <v>125</v>
      </c>
      <c r="D351" s="1">
        <v>45792</v>
      </c>
      <c r="E351" t="s">
        <v>7</v>
      </c>
      <c r="F351">
        <v>250</v>
      </c>
      <c r="G351">
        <v>58</v>
      </c>
      <c r="H351">
        <v>330</v>
      </c>
      <c r="I351" s="6" t="s">
        <v>88</v>
      </c>
      <c r="J351" s="6"/>
    </row>
    <row r="352" spans="1:10" x14ac:dyDescent="0.35">
      <c r="A352" t="s">
        <v>4</v>
      </c>
      <c r="B352" t="s">
        <v>22</v>
      </c>
      <c r="C352" t="s">
        <v>125</v>
      </c>
      <c r="D352" s="1">
        <v>45792</v>
      </c>
      <c r="E352" t="s">
        <v>19</v>
      </c>
      <c r="F352">
        <v>245</v>
      </c>
      <c r="G352">
        <v>42</v>
      </c>
      <c r="H352">
        <v>302</v>
      </c>
      <c r="I352" s="2" t="s">
        <v>88</v>
      </c>
      <c r="J352" s="6"/>
    </row>
    <row r="353" spans="1:10" x14ac:dyDescent="0.35">
      <c r="A353" s="6" t="s">
        <v>4</v>
      </c>
      <c r="B353" s="6" t="s">
        <v>22</v>
      </c>
      <c r="C353" t="s">
        <v>125</v>
      </c>
      <c r="D353" s="10">
        <v>45792</v>
      </c>
      <c r="E353" s="6" t="s">
        <v>19</v>
      </c>
      <c r="F353" s="6">
        <v>245</v>
      </c>
      <c r="G353" s="6">
        <v>42</v>
      </c>
      <c r="H353" s="6">
        <v>302</v>
      </c>
      <c r="I353" s="2" t="s">
        <v>67</v>
      </c>
      <c r="J353" s="6"/>
    </row>
    <row r="354" spans="1:10" x14ac:dyDescent="0.35">
      <c r="A354" s="13" t="s">
        <v>130</v>
      </c>
      <c r="B354" s="13" t="s">
        <v>130</v>
      </c>
      <c r="C354" t="s">
        <v>129</v>
      </c>
      <c r="D354" s="12">
        <v>45519</v>
      </c>
      <c r="E354" t="s">
        <v>59</v>
      </c>
      <c r="F354">
        <v>361</v>
      </c>
      <c r="G354">
        <v>56</v>
      </c>
      <c r="H354">
        <v>1201</v>
      </c>
      <c r="I354" s="6" t="s">
        <v>88</v>
      </c>
      <c r="J354" s="6"/>
    </row>
    <row r="355" spans="1:10" x14ac:dyDescent="0.35">
      <c r="A355" s="13" t="s">
        <v>130</v>
      </c>
      <c r="B355" s="13" t="s">
        <v>130</v>
      </c>
      <c r="C355" t="s">
        <v>129</v>
      </c>
      <c r="D355" s="12">
        <v>45519</v>
      </c>
      <c r="E355" t="s">
        <v>59</v>
      </c>
      <c r="F355">
        <v>349</v>
      </c>
      <c r="G355">
        <v>52</v>
      </c>
      <c r="H355">
        <v>1013</v>
      </c>
      <c r="I355" s="6" t="s">
        <v>88</v>
      </c>
      <c r="J355" s="6"/>
    </row>
    <row r="356" spans="1:10" x14ac:dyDescent="0.35">
      <c r="A356" s="13" t="s">
        <v>130</v>
      </c>
      <c r="B356" s="13" t="s">
        <v>130</v>
      </c>
      <c r="C356" t="s">
        <v>129</v>
      </c>
      <c r="D356" s="12">
        <v>45519</v>
      </c>
      <c r="E356" t="s">
        <v>59</v>
      </c>
      <c r="F356">
        <v>348</v>
      </c>
      <c r="G356">
        <v>51</v>
      </c>
      <c r="H356">
        <v>1042</v>
      </c>
      <c r="I356" s="13" t="s">
        <v>88</v>
      </c>
      <c r="J356" s="6"/>
    </row>
    <row r="357" spans="1:10" x14ac:dyDescent="0.35">
      <c r="A357" s="13" t="s">
        <v>130</v>
      </c>
      <c r="B357" s="13" t="s">
        <v>130</v>
      </c>
      <c r="C357" t="s">
        <v>129</v>
      </c>
      <c r="D357" s="12">
        <v>45519</v>
      </c>
      <c r="E357" t="s">
        <v>59</v>
      </c>
      <c r="F357">
        <v>346</v>
      </c>
      <c r="G357">
        <v>50</v>
      </c>
      <c r="H357">
        <v>858</v>
      </c>
      <c r="I357" s="6" t="s">
        <v>88</v>
      </c>
      <c r="J357" s="6"/>
    </row>
    <row r="358" spans="1:10" x14ac:dyDescent="0.35">
      <c r="A358" s="13" t="s">
        <v>130</v>
      </c>
      <c r="B358" s="13" t="s">
        <v>130</v>
      </c>
      <c r="C358" t="s">
        <v>129</v>
      </c>
      <c r="D358" s="12">
        <v>45519</v>
      </c>
      <c r="E358" t="s">
        <v>59</v>
      </c>
      <c r="F358">
        <v>340</v>
      </c>
      <c r="G358">
        <v>49</v>
      </c>
      <c r="H358">
        <v>794</v>
      </c>
      <c r="I358" s="6" t="s">
        <v>88</v>
      </c>
      <c r="J358" s="6"/>
    </row>
    <row r="359" spans="1:10" x14ac:dyDescent="0.35">
      <c r="A359" s="13" t="s">
        <v>130</v>
      </c>
      <c r="B359" s="13" t="s">
        <v>130</v>
      </c>
      <c r="C359" t="s">
        <v>129</v>
      </c>
      <c r="D359" s="12">
        <v>45519</v>
      </c>
      <c r="E359" t="s">
        <v>59</v>
      </c>
      <c r="F359">
        <v>334</v>
      </c>
      <c r="G359">
        <v>50</v>
      </c>
      <c r="H359">
        <v>852</v>
      </c>
      <c r="I359" s="6" t="s">
        <v>88</v>
      </c>
      <c r="J359" s="6"/>
    </row>
    <row r="360" spans="1:10" x14ac:dyDescent="0.35">
      <c r="A360" s="13" t="s">
        <v>130</v>
      </c>
      <c r="B360" s="13" t="s">
        <v>130</v>
      </c>
      <c r="C360" t="s">
        <v>129</v>
      </c>
      <c r="D360" s="12">
        <v>45519</v>
      </c>
      <c r="E360" t="s">
        <v>59</v>
      </c>
      <c r="F360">
        <v>311</v>
      </c>
      <c r="G360">
        <v>47</v>
      </c>
      <c r="H360">
        <v>672</v>
      </c>
      <c r="I360" s="6" t="s">
        <v>88</v>
      </c>
    </row>
    <row r="361" spans="1:10" x14ac:dyDescent="0.35">
      <c r="A361" s="13" t="s">
        <v>130</v>
      </c>
      <c r="B361" s="13" t="s">
        <v>130</v>
      </c>
      <c r="C361" t="s">
        <v>129</v>
      </c>
      <c r="D361" s="12">
        <v>45519</v>
      </c>
      <c r="E361" t="s">
        <v>59</v>
      </c>
      <c r="F361">
        <v>301</v>
      </c>
      <c r="G361">
        <v>42</v>
      </c>
      <c r="H361">
        <v>544</v>
      </c>
      <c r="I361" s="6" t="s">
        <v>88</v>
      </c>
    </row>
    <row r="362" spans="1:10" x14ac:dyDescent="0.35">
      <c r="A362" s="13" t="s">
        <v>130</v>
      </c>
      <c r="B362" s="13" t="s">
        <v>130</v>
      </c>
      <c r="C362" t="s">
        <v>129</v>
      </c>
      <c r="D362" s="12">
        <v>45519</v>
      </c>
      <c r="E362" t="s">
        <v>59</v>
      </c>
      <c r="F362">
        <v>296</v>
      </c>
      <c r="G362">
        <v>43</v>
      </c>
      <c r="H362">
        <v>589</v>
      </c>
      <c r="I362" s="6" t="s">
        <v>88</v>
      </c>
      <c r="J362" s="6"/>
    </row>
    <row r="363" spans="1:10" x14ac:dyDescent="0.35">
      <c r="A363" s="13" t="s">
        <v>130</v>
      </c>
      <c r="B363" s="13" t="s">
        <v>130</v>
      </c>
      <c r="C363" t="s">
        <v>129</v>
      </c>
      <c r="D363" s="12">
        <v>45519</v>
      </c>
      <c r="E363" t="s">
        <v>59</v>
      </c>
      <c r="F363">
        <v>242</v>
      </c>
      <c r="G363">
        <v>34</v>
      </c>
      <c r="H363">
        <v>277</v>
      </c>
      <c r="I363" s="6" t="s">
        <v>88</v>
      </c>
    </row>
    <row r="364" spans="1:10" x14ac:dyDescent="0.35">
      <c r="A364" s="13" t="s">
        <v>130</v>
      </c>
      <c r="B364" s="13" t="s">
        <v>130</v>
      </c>
      <c r="C364" t="s">
        <v>129</v>
      </c>
      <c r="D364" s="12">
        <v>45519</v>
      </c>
      <c r="E364" t="s">
        <v>59</v>
      </c>
      <c r="F364">
        <v>241</v>
      </c>
      <c r="G364">
        <v>37</v>
      </c>
      <c r="H364">
        <v>291</v>
      </c>
      <c r="I364" s="6" t="s">
        <v>113</v>
      </c>
      <c r="J364" s="6"/>
    </row>
    <row r="365" spans="1:10" x14ac:dyDescent="0.35">
      <c r="A365" s="13" t="s">
        <v>130</v>
      </c>
      <c r="B365" s="13" t="s">
        <v>130</v>
      </c>
      <c r="C365" t="s">
        <v>129</v>
      </c>
      <c r="D365" s="12">
        <v>45519</v>
      </c>
      <c r="E365" t="s">
        <v>59</v>
      </c>
      <c r="F365">
        <v>223</v>
      </c>
      <c r="G365">
        <v>31</v>
      </c>
      <c r="H365">
        <v>237</v>
      </c>
      <c r="I365" s="6" t="s">
        <v>88</v>
      </c>
    </row>
    <row r="366" spans="1:10" x14ac:dyDescent="0.35">
      <c r="A366" s="13" t="s">
        <v>130</v>
      </c>
      <c r="B366" s="13" t="s">
        <v>130</v>
      </c>
      <c r="C366" t="s">
        <v>129</v>
      </c>
      <c r="D366" s="12">
        <v>45519</v>
      </c>
      <c r="E366" t="s">
        <v>59</v>
      </c>
      <c r="F366">
        <v>218</v>
      </c>
      <c r="G366">
        <v>31</v>
      </c>
      <c r="H366">
        <v>186</v>
      </c>
      <c r="I366" s="6" t="s">
        <v>88</v>
      </c>
    </row>
    <row r="367" spans="1:10" x14ac:dyDescent="0.35">
      <c r="A367" s="13" t="s">
        <v>130</v>
      </c>
      <c r="B367" s="13" t="s">
        <v>130</v>
      </c>
      <c r="C367" t="s">
        <v>129</v>
      </c>
      <c r="D367" s="12">
        <v>45519</v>
      </c>
      <c r="E367" t="s">
        <v>59</v>
      </c>
      <c r="F367">
        <v>212</v>
      </c>
      <c r="G367">
        <v>28</v>
      </c>
      <c r="H367">
        <v>155</v>
      </c>
      <c r="I367" s="6" t="s">
        <v>88</v>
      </c>
    </row>
    <row r="368" spans="1:10" x14ac:dyDescent="0.35">
      <c r="A368" s="13" t="s">
        <v>130</v>
      </c>
      <c r="B368" s="13" t="s">
        <v>130</v>
      </c>
      <c r="C368" t="s">
        <v>129</v>
      </c>
      <c r="D368" s="12">
        <v>45519</v>
      </c>
      <c r="E368" t="s">
        <v>59</v>
      </c>
      <c r="F368">
        <v>209</v>
      </c>
      <c r="G368">
        <v>28</v>
      </c>
      <c r="H368">
        <v>158</v>
      </c>
      <c r="I368" s="6" t="s">
        <v>88</v>
      </c>
      <c r="J368" s="6"/>
    </row>
    <row r="369" spans="1:10" x14ac:dyDescent="0.35">
      <c r="A369" s="13" t="s">
        <v>130</v>
      </c>
      <c r="B369" s="13" t="s">
        <v>130</v>
      </c>
      <c r="C369" t="s">
        <v>129</v>
      </c>
      <c r="D369" s="12">
        <v>45519</v>
      </c>
      <c r="E369" t="s">
        <v>59</v>
      </c>
      <c r="F369">
        <v>208</v>
      </c>
      <c r="G369">
        <v>32</v>
      </c>
      <c r="H369">
        <v>166</v>
      </c>
      <c r="I369" s="6" t="s">
        <v>88</v>
      </c>
      <c r="J369" s="6"/>
    </row>
    <row r="370" spans="1:10" x14ac:dyDescent="0.35">
      <c r="A370" s="13" t="s">
        <v>130</v>
      </c>
      <c r="B370" s="13" t="s">
        <v>130</v>
      </c>
      <c r="C370" t="s">
        <v>129</v>
      </c>
      <c r="D370" s="12">
        <v>45519</v>
      </c>
      <c r="E370" t="s">
        <v>59</v>
      </c>
      <c r="F370">
        <v>207</v>
      </c>
      <c r="G370">
        <v>31</v>
      </c>
      <c r="H370">
        <v>151</v>
      </c>
      <c r="I370" s="6" t="s">
        <v>88</v>
      </c>
      <c r="J370" s="6"/>
    </row>
    <row r="371" spans="1:10" x14ac:dyDescent="0.35">
      <c r="A371" s="13" t="s">
        <v>130</v>
      </c>
      <c r="B371" s="13" t="s">
        <v>130</v>
      </c>
      <c r="C371" t="s">
        <v>129</v>
      </c>
      <c r="D371" s="12">
        <v>45519</v>
      </c>
      <c r="E371" t="s">
        <v>59</v>
      </c>
      <c r="F371">
        <v>201</v>
      </c>
      <c r="G371">
        <v>29</v>
      </c>
      <c r="H371">
        <v>170</v>
      </c>
      <c r="I371" s="6" t="s">
        <v>88</v>
      </c>
    </row>
    <row r="372" spans="1:10" x14ac:dyDescent="0.35">
      <c r="A372" s="13" t="s">
        <v>130</v>
      </c>
      <c r="B372" s="13" t="s">
        <v>130</v>
      </c>
      <c r="C372" t="s">
        <v>129</v>
      </c>
      <c r="D372" s="12">
        <v>45519</v>
      </c>
      <c r="E372" t="s">
        <v>59</v>
      </c>
      <c r="F372">
        <v>200</v>
      </c>
      <c r="G372">
        <v>28</v>
      </c>
      <c r="H372">
        <v>135</v>
      </c>
      <c r="I372" s="6" t="s">
        <v>88</v>
      </c>
      <c r="J372" s="6"/>
    </row>
    <row r="373" spans="1:10" x14ac:dyDescent="0.35">
      <c r="A373" s="13" t="s">
        <v>130</v>
      </c>
      <c r="B373" s="13" t="s">
        <v>130</v>
      </c>
      <c r="C373" t="s">
        <v>129</v>
      </c>
      <c r="D373" s="12">
        <v>45519</v>
      </c>
      <c r="E373" t="s">
        <v>59</v>
      </c>
      <c r="F373">
        <v>186</v>
      </c>
      <c r="G373" s="2">
        <v>23</v>
      </c>
      <c r="H373" s="2">
        <v>105</v>
      </c>
      <c r="I373" s="6" t="s">
        <v>88</v>
      </c>
      <c r="J373" s="6"/>
    </row>
    <row r="374" spans="1:10" x14ac:dyDescent="0.35">
      <c r="A374" s="13" t="s">
        <v>130</v>
      </c>
      <c r="B374" s="13" t="s">
        <v>130</v>
      </c>
      <c r="C374" t="s">
        <v>129</v>
      </c>
      <c r="D374" s="12">
        <v>45519</v>
      </c>
      <c r="E374" t="s">
        <v>59</v>
      </c>
      <c r="F374">
        <v>181</v>
      </c>
      <c r="G374" s="2">
        <v>24</v>
      </c>
      <c r="H374" s="2">
        <v>102</v>
      </c>
      <c r="I374" s="6" t="s">
        <v>88</v>
      </c>
      <c r="J374" s="6"/>
    </row>
    <row r="375" spans="1:10" x14ac:dyDescent="0.35">
      <c r="A375" s="13" t="s">
        <v>130</v>
      </c>
      <c r="B375" s="13" t="s">
        <v>130</v>
      </c>
      <c r="C375" t="s">
        <v>129</v>
      </c>
      <c r="D375" s="12">
        <v>45519</v>
      </c>
      <c r="E375" t="s">
        <v>59</v>
      </c>
      <c r="F375">
        <v>181</v>
      </c>
      <c r="G375" s="2">
        <v>23</v>
      </c>
      <c r="H375" s="2">
        <v>94</v>
      </c>
      <c r="I375" s="13" t="s">
        <v>88</v>
      </c>
      <c r="J375" s="6"/>
    </row>
    <row r="376" spans="1:10" x14ac:dyDescent="0.35">
      <c r="A376" s="13" t="s">
        <v>130</v>
      </c>
      <c r="B376" s="13" t="s">
        <v>130</v>
      </c>
      <c r="C376" t="s">
        <v>129</v>
      </c>
      <c r="D376" s="12">
        <v>45519</v>
      </c>
      <c r="E376" t="s">
        <v>59</v>
      </c>
      <c r="F376">
        <v>168</v>
      </c>
      <c r="G376" s="2">
        <v>19</v>
      </c>
      <c r="H376" s="2">
        <v>80</v>
      </c>
      <c r="I376" s="6" t="s">
        <v>88</v>
      </c>
      <c r="J376" s="6"/>
    </row>
    <row r="377" spans="1:10" x14ac:dyDescent="0.35">
      <c r="A377" s="13" t="s">
        <v>130</v>
      </c>
      <c r="B377" s="13" t="s">
        <v>130</v>
      </c>
      <c r="C377" t="s">
        <v>129</v>
      </c>
      <c r="D377" s="12">
        <v>45519</v>
      </c>
      <c r="E377" t="s">
        <v>59</v>
      </c>
      <c r="F377">
        <v>131</v>
      </c>
      <c r="G377">
        <v>15</v>
      </c>
      <c r="H377">
        <v>38</v>
      </c>
      <c r="I377" s="6" t="s">
        <v>88</v>
      </c>
      <c r="J377" s="2"/>
    </row>
    <row r="380" spans="1:10" x14ac:dyDescent="0.35">
      <c r="J380" s="6"/>
    </row>
    <row r="383" spans="1:10" x14ac:dyDescent="0.35">
      <c r="J383" s="6"/>
    </row>
    <row r="385" spans="10:10" x14ac:dyDescent="0.35">
      <c r="J385" s="6"/>
    </row>
    <row r="386" spans="10:10" x14ac:dyDescent="0.35">
      <c r="J386" s="6"/>
    </row>
    <row r="388" spans="10:10" x14ac:dyDescent="0.35">
      <c r="J388" s="6"/>
    </row>
    <row r="390" spans="10:10" x14ac:dyDescent="0.35">
      <c r="J390" s="6"/>
    </row>
    <row r="392" spans="10:10" x14ac:dyDescent="0.35">
      <c r="J392" s="6"/>
    </row>
    <row r="394" spans="10:10" x14ac:dyDescent="0.35">
      <c r="J394" s="6"/>
    </row>
    <row r="396" spans="10:10" x14ac:dyDescent="0.35">
      <c r="J396" s="6"/>
    </row>
    <row r="397" spans="10:10" x14ac:dyDescent="0.35">
      <c r="J397" s="6"/>
    </row>
    <row r="401" spans="10:10" x14ac:dyDescent="0.35">
      <c r="J401" s="6"/>
    </row>
    <row r="403" spans="10:10" x14ac:dyDescent="0.35">
      <c r="J403" s="6"/>
    </row>
    <row r="404" spans="10:10" x14ac:dyDescent="0.35">
      <c r="J404" s="6"/>
    </row>
    <row r="405" spans="10:10" x14ac:dyDescent="0.35">
      <c r="J405" s="6"/>
    </row>
    <row r="407" spans="10:10" x14ac:dyDescent="0.35">
      <c r="J407" s="6"/>
    </row>
    <row r="408" spans="10:10" x14ac:dyDescent="0.35">
      <c r="J408" s="6"/>
    </row>
    <row r="409" spans="10:10" x14ac:dyDescent="0.35">
      <c r="J409" s="6"/>
    </row>
    <row r="410" spans="10:10" x14ac:dyDescent="0.35">
      <c r="J410" s="6"/>
    </row>
    <row r="412" spans="10:10" x14ac:dyDescent="0.35">
      <c r="J412" s="6"/>
    </row>
    <row r="413" spans="10:10" x14ac:dyDescent="0.35">
      <c r="J413" s="6"/>
    </row>
    <row r="416" spans="10:10" x14ac:dyDescent="0.35">
      <c r="J416" s="6"/>
    </row>
    <row r="418" spans="10:10" x14ac:dyDescent="0.35">
      <c r="J418" s="6"/>
    </row>
    <row r="419" spans="10:10" x14ac:dyDescent="0.35">
      <c r="J419" s="6"/>
    </row>
    <row r="420" spans="10:10" x14ac:dyDescent="0.35">
      <c r="J420" s="6"/>
    </row>
    <row r="422" spans="10:10" x14ac:dyDescent="0.35">
      <c r="J422" s="6"/>
    </row>
    <row r="423" spans="10:10" x14ac:dyDescent="0.35">
      <c r="J423" s="6"/>
    </row>
    <row r="424" spans="10:10" x14ac:dyDescent="0.35">
      <c r="J424" s="6"/>
    </row>
    <row r="425" spans="10:10" x14ac:dyDescent="0.35">
      <c r="J425" s="6"/>
    </row>
    <row r="426" spans="10:10" x14ac:dyDescent="0.35">
      <c r="J426" s="6"/>
    </row>
    <row r="427" spans="10:10" x14ac:dyDescent="0.35">
      <c r="J427" s="6"/>
    </row>
    <row r="429" spans="10:10" x14ac:dyDescent="0.35">
      <c r="J429" s="6"/>
    </row>
    <row r="430" spans="10:10" x14ac:dyDescent="0.35">
      <c r="J430" s="6"/>
    </row>
    <row r="432" spans="10:10" x14ac:dyDescent="0.35">
      <c r="J432" s="6"/>
    </row>
    <row r="434" spans="10:10" x14ac:dyDescent="0.35">
      <c r="J434" s="6"/>
    </row>
    <row r="436" spans="10:10" x14ac:dyDescent="0.35">
      <c r="J436" s="6"/>
    </row>
    <row r="438" spans="10:10" x14ac:dyDescent="0.35">
      <c r="J438" s="6"/>
    </row>
    <row r="439" spans="10:10" x14ac:dyDescent="0.35">
      <c r="J439" s="6"/>
    </row>
    <row r="441" spans="10:10" x14ac:dyDescent="0.35">
      <c r="J441" s="6"/>
    </row>
    <row r="443" spans="10:10" x14ac:dyDescent="0.35">
      <c r="J443" s="6"/>
    </row>
    <row r="444" spans="10:10" x14ac:dyDescent="0.35">
      <c r="J444" s="6"/>
    </row>
    <row r="446" spans="10:10" x14ac:dyDescent="0.35">
      <c r="J446" s="6"/>
    </row>
    <row r="448" spans="10:10" x14ac:dyDescent="0.35">
      <c r="J448" s="6"/>
    </row>
    <row r="450" spans="10:10" x14ac:dyDescent="0.35">
      <c r="J450" s="6"/>
    </row>
    <row r="452" spans="10:10" x14ac:dyDescent="0.35">
      <c r="J452" s="6"/>
    </row>
    <row r="453" spans="10:10" x14ac:dyDescent="0.35">
      <c r="J453" s="6"/>
    </row>
    <row r="456" spans="10:10" x14ac:dyDescent="0.35">
      <c r="J456" s="6"/>
    </row>
    <row r="457" spans="10:10" x14ac:dyDescent="0.35">
      <c r="J457" s="6"/>
    </row>
    <row r="460" spans="10:10" x14ac:dyDescent="0.35">
      <c r="J460" s="6"/>
    </row>
    <row r="462" spans="10:10" x14ac:dyDescent="0.35">
      <c r="J462" s="6"/>
    </row>
    <row r="463" spans="10:10" x14ac:dyDescent="0.35">
      <c r="J463" s="6"/>
    </row>
    <row r="464" spans="10:10" x14ac:dyDescent="0.35">
      <c r="J464" s="6"/>
    </row>
    <row r="465" spans="10:10" x14ac:dyDescent="0.35">
      <c r="J465" s="6"/>
    </row>
    <row r="467" spans="10:10" x14ac:dyDescent="0.35">
      <c r="J467" s="6"/>
    </row>
    <row r="468" spans="10:10" x14ac:dyDescent="0.35">
      <c r="J468" s="6"/>
    </row>
    <row r="472" spans="10:10" x14ac:dyDescent="0.35">
      <c r="J472" s="6"/>
    </row>
    <row r="473" spans="10:10" x14ac:dyDescent="0.35">
      <c r="J473" s="6"/>
    </row>
    <row r="474" spans="10:10" x14ac:dyDescent="0.35">
      <c r="J474" s="6"/>
    </row>
    <row r="476" spans="10:10" x14ac:dyDescent="0.35">
      <c r="J476" s="6"/>
    </row>
    <row r="477" spans="10:10" x14ac:dyDescent="0.35">
      <c r="J477" s="6"/>
    </row>
    <row r="479" spans="10:10" x14ac:dyDescent="0.35">
      <c r="J479" s="6"/>
    </row>
    <row r="481" spans="10:10" x14ac:dyDescent="0.35">
      <c r="J481" s="6" t="s">
        <v>43</v>
      </c>
    </row>
    <row r="482" spans="10:10" x14ac:dyDescent="0.35">
      <c r="J482" s="6"/>
    </row>
    <row r="484" spans="10:10" x14ac:dyDescent="0.35">
      <c r="J484" s="6"/>
    </row>
    <row r="485" spans="10:10" x14ac:dyDescent="0.35">
      <c r="J485" s="6"/>
    </row>
  </sheetData>
  <autoFilter ref="A1:I377" xr:uid="{00000000-0001-0000-0000-000000000000}">
    <sortState xmlns:xlrd2="http://schemas.microsoft.com/office/spreadsheetml/2017/richdata2" ref="A2:I377">
      <sortCondition sortBy="cellColor" ref="A1:A377" dxfId="1"/>
    </sortState>
  </autoFilter>
  <sortState xmlns:xlrd2="http://schemas.microsoft.com/office/spreadsheetml/2017/richdata2" ref="A2:J486">
    <sortCondition ref="H1:H486"/>
  </sortState>
  <phoneticPr fontId="1" type="noConversion"/>
  <pageMargins left="0.7" right="0.7" top="0.75" bottom="0.75" header="0.3" footer="0.3"/>
  <pageSetup orientation="portrait" r:id="rId2"/>
  <headerFooter>
    <oddHeader>&amp;R&amp;"Calibri"&amp;12&amp;K000000 Unclassified - Non-Classifié&amp;1#_x000D_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FFCF-3475-45CF-BFE1-94F1FE2A59FD}">
  <dimension ref="A1:C461"/>
  <sheetViews>
    <sheetView topLeftCell="A429" workbookViewId="0">
      <selection activeCell="B1" sqref="B1:B461"/>
    </sheetView>
  </sheetViews>
  <sheetFormatPr defaultRowHeight="14.5" x14ac:dyDescent="0.35"/>
  <cols>
    <col min="1" max="1" width="10.7265625" style="1" bestFit="1" customWidth="1"/>
    <col min="2" max="3" width="10.7265625" bestFit="1" customWidth="1"/>
  </cols>
  <sheetData>
    <row r="1" spans="1:3" x14ac:dyDescent="0.35">
      <c r="A1" s="7" t="s">
        <v>6</v>
      </c>
      <c r="B1" s="1">
        <f>DATE(IF(LEN(A1)-LEN(SUBSTITUTE(A1,"/",""))=2,IF(LEN(RIGHT(A1,2))=2,2000+RIGHT(A1,2),RIGHT(A1,4)),RIGHT(A1,4)),MID(SUBSTITUTE(A1,"-","/"),FIND("/",SUBSTITUTE(A1,"-","/"))+1,FIND("/",SUBSTITUTE(A1,"-","/"),FIND("/",SUBSTITUTE(A1,"-","/"))+1)-FIND("/",SUBSTITUTE(A1,"-","/"))-1),LEFT(SUBSTITUTE(A1,"-","/"),FIND("/",SUBSTITUTE(A1,"-","/"))-1))</f>
        <v>45803</v>
      </c>
      <c r="C1" t="b">
        <f t="shared" ref="C1:C64" si="0">ISNUMBER(B1)</f>
        <v>1</v>
      </c>
    </row>
    <row r="2" spans="1:3" x14ac:dyDescent="0.35">
      <c r="A2" s="1" t="s">
        <v>6</v>
      </c>
      <c r="B2" s="1">
        <f t="shared" ref="B2:B65" si="1">DATE(IF(LEN(A2)-LEN(SUBSTITUTE(A2,"/",""))=2,IF(LEN(RIGHT(A2,2))=2,2000+RIGHT(A2,2),RIGHT(A2,4)),RIGHT(A2,4)),MID(SUBSTITUTE(A2,"-","/"),FIND("/",SUBSTITUTE(A2,"-","/"))+1,FIND("/",SUBSTITUTE(A2,"-","/"),FIND("/",SUBSTITUTE(A2,"-","/"))+1)-FIND("/",SUBSTITUTE(A2,"-","/"))-1),LEFT(SUBSTITUTE(A2,"-","/"),FIND("/",SUBSTITUTE(A2,"-","/"))-1))</f>
        <v>45803</v>
      </c>
      <c r="C2" t="b">
        <f t="shared" si="0"/>
        <v>1</v>
      </c>
    </row>
    <row r="3" spans="1:3" x14ac:dyDescent="0.35">
      <c r="A3" s="1" t="s">
        <v>6</v>
      </c>
      <c r="B3" s="1">
        <f t="shared" si="1"/>
        <v>45803</v>
      </c>
      <c r="C3" t="b">
        <f t="shared" si="0"/>
        <v>1</v>
      </c>
    </row>
    <row r="4" spans="1:3" x14ac:dyDescent="0.35">
      <c r="A4" s="1" t="s">
        <v>6</v>
      </c>
      <c r="B4" s="1">
        <f t="shared" si="1"/>
        <v>45803</v>
      </c>
      <c r="C4" t="b">
        <f t="shared" si="0"/>
        <v>1</v>
      </c>
    </row>
    <row r="5" spans="1:3" x14ac:dyDescent="0.35">
      <c r="A5" s="1" t="s">
        <v>15</v>
      </c>
      <c r="B5" s="1">
        <f t="shared" si="1"/>
        <v>45792</v>
      </c>
      <c r="C5" t="b">
        <f t="shared" si="0"/>
        <v>1</v>
      </c>
    </row>
    <row r="6" spans="1:3" x14ac:dyDescent="0.35">
      <c r="A6" s="1" t="s">
        <v>15</v>
      </c>
      <c r="B6" s="1">
        <f t="shared" si="1"/>
        <v>45792</v>
      </c>
      <c r="C6" t="b">
        <f t="shared" si="0"/>
        <v>1</v>
      </c>
    </row>
    <row r="7" spans="1:3" x14ac:dyDescent="0.35">
      <c r="A7" s="1" t="s">
        <v>15</v>
      </c>
      <c r="B7" s="1">
        <f t="shared" si="1"/>
        <v>45792</v>
      </c>
      <c r="C7" t="b">
        <f t="shared" si="0"/>
        <v>1</v>
      </c>
    </row>
    <row r="8" spans="1:3" x14ac:dyDescent="0.35">
      <c r="A8" s="1" t="s">
        <v>15</v>
      </c>
      <c r="B8" s="1">
        <f t="shared" si="1"/>
        <v>45792</v>
      </c>
      <c r="C8" t="b">
        <f t="shared" si="0"/>
        <v>1</v>
      </c>
    </row>
    <row r="9" spans="1:3" x14ac:dyDescent="0.35">
      <c r="A9" s="1" t="s">
        <v>15</v>
      </c>
      <c r="B9" s="1">
        <f t="shared" si="1"/>
        <v>45792</v>
      </c>
      <c r="C9" t="b">
        <f t="shared" si="0"/>
        <v>1</v>
      </c>
    </row>
    <row r="10" spans="1:3" x14ac:dyDescent="0.35">
      <c r="A10" s="1" t="s">
        <v>15</v>
      </c>
      <c r="B10" s="1">
        <f t="shared" si="1"/>
        <v>45792</v>
      </c>
      <c r="C10" t="b">
        <f t="shared" si="0"/>
        <v>1</v>
      </c>
    </row>
    <row r="11" spans="1:3" x14ac:dyDescent="0.35">
      <c r="A11" s="1" t="s">
        <v>15</v>
      </c>
      <c r="B11" s="1">
        <f t="shared" si="1"/>
        <v>45792</v>
      </c>
      <c r="C11" t="b">
        <f t="shared" si="0"/>
        <v>1</v>
      </c>
    </row>
    <row r="12" spans="1:3" x14ac:dyDescent="0.35">
      <c r="A12" s="1" t="s">
        <v>15</v>
      </c>
      <c r="B12" s="1">
        <f t="shared" si="1"/>
        <v>45792</v>
      </c>
      <c r="C12" t="b">
        <f t="shared" si="0"/>
        <v>1</v>
      </c>
    </row>
    <row r="13" spans="1:3" x14ac:dyDescent="0.35">
      <c r="A13" s="1" t="s">
        <v>15</v>
      </c>
      <c r="B13" s="1">
        <f t="shared" si="1"/>
        <v>45792</v>
      </c>
      <c r="C13" t="b">
        <f t="shared" si="0"/>
        <v>1</v>
      </c>
    </row>
    <row r="14" spans="1:3" x14ac:dyDescent="0.35">
      <c r="A14" s="1" t="s">
        <v>15</v>
      </c>
      <c r="B14" s="1">
        <f t="shared" si="1"/>
        <v>45792</v>
      </c>
      <c r="C14" t="b">
        <f t="shared" si="0"/>
        <v>1</v>
      </c>
    </row>
    <row r="15" spans="1:3" x14ac:dyDescent="0.35">
      <c r="A15" s="1" t="s">
        <v>15</v>
      </c>
      <c r="B15" s="1">
        <f t="shared" si="1"/>
        <v>45792</v>
      </c>
      <c r="C15" t="b">
        <f t="shared" si="0"/>
        <v>1</v>
      </c>
    </row>
    <row r="16" spans="1:3" x14ac:dyDescent="0.35">
      <c r="A16" s="1" t="s">
        <v>15</v>
      </c>
      <c r="B16" s="1">
        <f t="shared" si="1"/>
        <v>45792</v>
      </c>
      <c r="C16" t="b">
        <f t="shared" si="0"/>
        <v>1</v>
      </c>
    </row>
    <row r="17" spans="1:3" x14ac:dyDescent="0.35">
      <c r="A17" s="1" t="s">
        <v>15</v>
      </c>
      <c r="B17" s="1">
        <f t="shared" si="1"/>
        <v>45792</v>
      </c>
      <c r="C17" t="b">
        <f t="shared" si="0"/>
        <v>1</v>
      </c>
    </row>
    <row r="18" spans="1:3" x14ac:dyDescent="0.35">
      <c r="A18" s="1" t="s">
        <v>15</v>
      </c>
      <c r="B18" s="1">
        <f t="shared" si="1"/>
        <v>45792</v>
      </c>
      <c r="C18" t="b">
        <f t="shared" si="0"/>
        <v>1</v>
      </c>
    </row>
    <row r="19" spans="1:3" x14ac:dyDescent="0.35">
      <c r="A19" s="1" t="s">
        <v>15</v>
      </c>
      <c r="B19" s="1">
        <f t="shared" si="1"/>
        <v>45792</v>
      </c>
      <c r="C19" t="b">
        <f t="shared" si="0"/>
        <v>1</v>
      </c>
    </row>
    <row r="20" spans="1:3" x14ac:dyDescent="0.35">
      <c r="A20" s="1" t="s">
        <v>15</v>
      </c>
      <c r="B20" s="1">
        <f t="shared" si="1"/>
        <v>45792</v>
      </c>
      <c r="C20" t="b">
        <f t="shared" si="0"/>
        <v>1</v>
      </c>
    </row>
    <row r="21" spans="1:3" x14ac:dyDescent="0.35">
      <c r="A21" s="1" t="s">
        <v>15</v>
      </c>
      <c r="B21" s="1">
        <f t="shared" si="1"/>
        <v>45792</v>
      </c>
      <c r="C21" t="b">
        <f t="shared" si="0"/>
        <v>1</v>
      </c>
    </row>
    <row r="22" spans="1:3" x14ac:dyDescent="0.35">
      <c r="A22" s="1" t="s">
        <v>15</v>
      </c>
      <c r="B22" s="1">
        <f t="shared" si="1"/>
        <v>45792</v>
      </c>
      <c r="C22" t="b">
        <f t="shared" si="0"/>
        <v>1</v>
      </c>
    </row>
    <row r="23" spans="1:3" x14ac:dyDescent="0.35">
      <c r="A23" s="1" t="s">
        <v>15</v>
      </c>
      <c r="B23" s="1">
        <f t="shared" si="1"/>
        <v>45792</v>
      </c>
      <c r="C23" t="b">
        <f t="shared" si="0"/>
        <v>1</v>
      </c>
    </row>
    <row r="24" spans="1:3" x14ac:dyDescent="0.35">
      <c r="A24" s="1" t="s">
        <v>15</v>
      </c>
      <c r="B24" s="1">
        <f t="shared" si="1"/>
        <v>45792</v>
      </c>
      <c r="C24" t="b">
        <f t="shared" si="0"/>
        <v>1</v>
      </c>
    </row>
    <row r="25" spans="1:3" x14ac:dyDescent="0.35">
      <c r="A25" s="1" t="s">
        <v>15</v>
      </c>
      <c r="B25" s="1">
        <f t="shared" si="1"/>
        <v>45792</v>
      </c>
      <c r="C25" t="b">
        <f t="shared" si="0"/>
        <v>1</v>
      </c>
    </row>
    <row r="26" spans="1:3" x14ac:dyDescent="0.35">
      <c r="A26" s="1" t="s">
        <v>15</v>
      </c>
      <c r="B26" s="1">
        <f t="shared" si="1"/>
        <v>45792</v>
      </c>
      <c r="C26" t="b">
        <f t="shared" si="0"/>
        <v>1</v>
      </c>
    </row>
    <row r="27" spans="1:3" x14ac:dyDescent="0.35">
      <c r="A27" s="1" t="s">
        <v>15</v>
      </c>
      <c r="B27" s="1">
        <f t="shared" si="1"/>
        <v>45792</v>
      </c>
      <c r="C27" t="b">
        <f t="shared" si="0"/>
        <v>1</v>
      </c>
    </row>
    <row r="28" spans="1:3" x14ac:dyDescent="0.35">
      <c r="A28" s="1" t="s">
        <v>15</v>
      </c>
      <c r="B28" s="1">
        <f t="shared" si="1"/>
        <v>45792</v>
      </c>
      <c r="C28" t="b">
        <f t="shared" si="0"/>
        <v>1</v>
      </c>
    </row>
    <row r="29" spans="1:3" x14ac:dyDescent="0.35">
      <c r="A29" s="1" t="s">
        <v>15</v>
      </c>
      <c r="B29" s="1">
        <f t="shared" si="1"/>
        <v>45792</v>
      </c>
      <c r="C29" t="b">
        <f t="shared" si="0"/>
        <v>1</v>
      </c>
    </row>
    <row r="30" spans="1:3" x14ac:dyDescent="0.35">
      <c r="A30" s="1" t="s">
        <v>15</v>
      </c>
      <c r="B30" s="1">
        <f t="shared" si="1"/>
        <v>45792</v>
      </c>
      <c r="C30" t="b">
        <f t="shared" si="0"/>
        <v>1</v>
      </c>
    </row>
    <row r="31" spans="1:3" x14ac:dyDescent="0.35">
      <c r="A31" s="1" t="s">
        <v>15</v>
      </c>
      <c r="B31" s="1">
        <f t="shared" si="1"/>
        <v>45792</v>
      </c>
      <c r="C31" t="b">
        <f t="shared" si="0"/>
        <v>1</v>
      </c>
    </row>
    <row r="32" spans="1:3" x14ac:dyDescent="0.35">
      <c r="A32" s="1" t="s">
        <v>6</v>
      </c>
      <c r="B32" s="1">
        <f t="shared" si="1"/>
        <v>45803</v>
      </c>
      <c r="C32" t="b">
        <f t="shared" si="0"/>
        <v>1</v>
      </c>
    </row>
    <row r="33" spans="1:3" x14ac:dyDescent="0.35">
      <c r="A33" s="1" t="s">
        <v>6</v>
      </c>
      <c r="B33" s="1">
        <f t="shared" si="1"/>
        <v>45803</v>
      </c>
      <c r="C33" t="b">
        <f t="shared" si="0"/>
        <v>1</v>
      </c>
    </row>
    <row r="34" spans="1:3" x14ac:dyDescent="0.35">
      <c r="A34" s="1" t="s">
        <v>6</v>
      </c>
      <c r="B34" s="1">
        <f t="shared" si="1"/>
        <v>45803</v>
      </c>
      <c r="C34" t="b">
        <f t="shared" si="0"/>
        <v>1</v>
      </c>
    </row>
    <row r="35" spans="1:3" x14ac:dyDescent="0.35">
      <c r="A35" s="1" t="s">
        <v>6</v>
      </c>
      <c r="B35" s="1">
        <f t="shared" si="1"/>
        <v>45803</v>
      </c>
      <c r="C35" t="b">
        <f t="shared" si="0"/>
        <v>1</v>
      </c>
    </row>
    <row r="36" spans="1:3" x14ac:dyDescent="0.35">
      <c r="A36" s="1" t="s">
        <v>15</v>
      </c>
      <c r="B36" s="1">
        <f t="shared" si="1"/>
        <v>45792</v>
      </c>
      <c r="C36" t="b">
        <f t="shared" si="0"/>
        <v>1</v>
      </c>
    </row>
    <row r="37" spans="1:3" x14ac:dyDescent="0.35">
      <c r="A37" s="1" t="s">
        <v>15</v>
      </c>
      <c r="B37" s="1">
        <f t="shared" si="1"/>
        <v>45792</v>
      </c>
      <c r="C37" t="b">
        <f t="shared" si="0"/>
        <v>1</v>
      </c>
    </row>
    <row r="38" spans="1:3" x14ac:dyDescent="0.35">
      <c r="A38" s="1" t="s">
        <v>15</v>
      </c>
      <c r="B38" s="1">
        <f t="shared" si="1"/>
        <v>45792</v>
      </c>
      <c r="C38" t="b">
        <f t="shared" si="0"/>
        <v>1</v>
      </c>
    </row>
    <row r="39" spans="1:3" x14ac:dyDescent="0.35">
      <c r="A39" s="1" t="s">
        <v>15</v>
      </c>
      <c r="B39" s="1">
        <f t="shared" si="1"/>
        <v>45792</v>
      </c>
      <c r="C39" t="b">
        <f t="shared" si="0"/>
        <v>1</v>
      </c>
    </row>
    <row r="40" spans="1:3" x14ac:dyDescent="0.35">
      <c r="A40" s="1" t="s">
        <v>15</v>
      </c>
      <c r="B40" s="1">
        <f t="shared" si="1"/>
        <v>45792</v>
      </c>
      <c r="C40" t="b">
        <f t="shared" si="0"/>
        <v>1</v>
      </c>
    </row>
    <row r="41" spans="1:3" x14ac:dyDescent="0.35">
      <c r="A41" s="1" t="s">
        <v>15</v>
      </c>
      <c r="B41" s="1">
        <f t="shared" si="1"/>
        <v>45792</v>
      </c>
      <c r="C41" t="b">
        <f t="shared" si="0"/>
        <v>1</v>
      </c>
    </row>
    <row r="42" spans="1:3" x14ac:dyDescent="0.35">
      <c r="A42" s="1" t="s">
        <v>15</v>
      </c>
      <c r="B42" s="1">
        <f t="shared" si="1"/>
        <v>45792</v>
      </c>
      <c r="C42" t="b">
        <f t="shared" si="0"/>
        <v>1</v>
      </c>
    </row>
    <row r="43" spans="1:3" x14ac:dyDescent="0.35">
      <c r="A43" s="1" t="s">
        <v>15</v>
      </c>
      <c r="B43" s="1">
        <f t="shared" si="1"/>
        <v>45792</v>
      </c>
      <c r="C43" t="b">
        <f t="shared" si="0"/>
        <v>1</v>
      </c>
    </row>
    <row r="44" spans="1:3" x14ac:dyDescent="0.35">
      <c r="A44" s="1" t="s">
        <v>15</v>
      </c>
      <c r="B44" s="1">
        <f t="shared" si="1"/>
        <v>45792</v>
      </c>
      <c r="C44" t="b">
        <f t="shared" si="0"/>
        <v>1</v>
      </c>
    </row>
    <row r="45" spans="1:3" x14ac:dyDescent="0.35">
      <c r="A45" s="1" t="s">
        <v>15</v>
      </c>
      <c r="B45" s="1">
        <f t="shared" si="1"/>
        <v>45792</v>
      </c>
      <c r="C45" t="b">
        <f t="shared" si="0"/>
        <v>1</v>
      </c>
    </row>
    <row r="46" spans="1:3" x14ac:dyDescent="0.35">
      <c r="A46" s="1" t="s">
        <v>15</v>
      </c>
      <c r="B46" s="1">
        <f t="shared" si="1"/>
        <v>45792</v>
      </c>
      <c r="C46" t="b">
        <f t="shared" si="0"/>
        <v>1</v>
      </c>
    </row>
    <row r="47" spans="1:3" x14ac:dyDescent="0.35">
      <c r="A47" s="1" t="s">
        <v>15</v>
      </c>
      <c r="B47" s="1">
        <f t="shared" si="1"/>
        <v>45792</v>
      </c>
      <c r="C47" t="b">
        <f t="shared" si="0"/>
        <v>1</v>
      </c>
    </row>
    <row r="48" spans="1:3" x14ac:dyDescent="0.35">
      <c r="A48" s="1" t="s">
        <v>15</v>
      </c>
      <c r="B48" s="1">
        <f t="shared" si="1"/>
        <v>45792</v>
      </c>
      <c r="C48" t="b">
        <f t="shared" si="0"/>
        <v>1</v>
      </c>
    </row>
    <row r="49" spans="1:3" x14ac:dyDescent="0.35">
      <c r="A49" s="1" t="s">
        <v>15</v>
      </c>
      <c r="B49" s="1">
        <f t="shared" si="1"/>
        <v>45792</v>
      </c>
      <c r="C49" t="b">
        <f t="shared" si="0"/>
        <v>1</v>
      </c>
    </row>
    <row r="50" spans="1:3" x14ac:dyDescent="0.35">
      <c r="A50" s="1" t="s">
        <v>15</v>
      </c>
      <c r="B50" s="1">
        <f t="shared" si="1"/>
        <v>45792</v>
      </c>
      <c r="C50" t="b">
        <f t="shared" si="0"/>
        <v>1</v>
      </c>
    </row>
    <row r="51" spans="1:3" x14ac:dyDescent="0.35">
      <c r="A51" s="1" t="s">
        <v>15</v>
      </c>
      <c r="B51" s="1">
        <f t="shared" si="1"/>
        <v>45792</v>
      </c>
      <c r="C51" t="b">
        <f t="shared" si="0"/>
        <v>1</v>
      </c>
    </row>
    <row r="52" spans="1:3" x14ac:dyDescent="0.35">
      <c r="A52" s="1" t="s">
        <v>15</v>
      </c>
      <c r="B52" s="1">
        <f t="shared" si="1"/>
        <v>45792</v>
      </c>
      <c r="C52" t="b">
        <f t="shared" si="0"/>
        <v>1</v>
      </c>
    </row>
    <row r="53" spans="1:3" x14ac:dyDescent="0.35">
      <c r="A53" s="1" t="s">
        <v>15</v>
      </c>
      <c r="B53" s="1">
        <f t="shared" si="1"/>
        <v>45792</v>
      </c>
      <c r="C53" t="b">
        <f t="shared" si="0"/>
        <v>1</v>
      </c>
    </row>
    <row r="54" spans="1:3" x14ac:dyDescent="0.35">
      <c r="A54" s="1" t="s">
        <v>15</v>
      </c>
      <c r="B54" s="1">
        <f t="shared" si="1"/>
        <v>45792</v>
      </c>
      <c r="C54" t="b">
        <f t="shared" si="0"/>
        <v>1</v>
      </c>
    </row>
    <row r="55" spans="1:3" x14ac:dyDescent="0.35">
      <c r="A55" s="1" t="s">
        <v>15</v>
      </c>
      <c r="B55" s="1">
        <f t="shared" si="1"/>
        <v>45792</v>
      </c>
      <c r="C55" t="b">
        <f t="shared" si="0"/>
        <v>1</v>
      </c>
    </row>
    <row r="56" spans="1:3" x14ac:dyDescent="0.35">
      <c r="A56" s="1" t="s">
        <v>15</v>
      </c>
      <c r="B56" s="1">
        <f t="shared" si="1"/>
        <v>45792</v>
      </c>
      <c r="C56" t="b">
        <f t="shared" si="0"/>
        <v>1</v>
      </c>
    </row>
    <row r="57" spans="1:3" x14ac:dyDescent="0.35">
      <c r="A57" s="1" t="s">
        <v>15</v>
      </c>
      <c r="B57" s="1">
        <f t="shared" si="1"/>
        <v>45792</v>
      </c>
      <c r="C57" t="b">
        <f t="shared" si="0"/>
        <v>1</v>
      </c>
    </row>
    <row r="58" spans="1:3" x14ac:dyDescent="0.35">
      <c r="A58" s="1" t="s">
        <v>15</v>
      </c>
      <c r="B58" s="1">
        <f t="shared" si="1"/>
        <v>45792</v>
      </c>
      <c r="C58" t="b">
        <f t="shared" si="0"/>
        <v>1</v>
      </c>
    </row>
    <row r="59" spans="1:3" x14ac:dyDescent="0.35">
      <c r="A59" s="1" t="s">
        <v>15</v>
      </c>
      <c r="B59" s="1">
        <f t="shared" si="1"/>
        <v>45792</v>
      </c>
      <c r="C59" t="b">
        <f t="shared" si="0"/>
        <v>1</v>
      </c>
    </row>
    <row r="60" spans="1:3" x14ac:dyDescent="0.35">
      <c r="A60" s="1" t="s">
        <v>15</v>
      </c>
      <c r="B60" s="1">
        <f t="shared" si="1"/>
        <v>45792</v>
      </c>
      <c r="C60" t="b">
        <f t="shared" si="0"/>
        <v>1</v>
      </c>
    </row>
    <row r="61" spans="1:3" x14ac:dyDescent="0.35">
      <c r="A61" s="1" t="s">
        <v>15</v>
      </c>
      <c r="B61" s="1">
        <f t="shared" si="1"/>
        <v>45792</v>
      </c>
      <c r="C61" t="b">
        <f t="shared" si="0"/>
        <v>1</v>
      </c>
    </row>
    <row r="62" spans="1:3" x14ac:dyDescent="0.35">
      <c r="A62" s="1" t="s">
        <v>15</v>
      </c>
      <c r="B62" s="1">
        <f t="shared" si="1"/>
        <v>45792</v>
      </c>
      <c r="C62" t="b">
        <f t="shared" si="0"/>
        <v>1</v>
      </c>
    </row>
    <row r="63" spans="1:3" x14ac:dyDescent="0.35">
      <c r="A63" s="1" t="s">
        <v>89</v>
      </c>
      <c r="B63" s="1">
        <f t="shared" si="1"/>
        <v>45945</v>
      </c>
      <c r="C63" t="b">
        <f t="shared" si="0"/>
        <v>1</v>
      </c>
    </row>
    <row r="64" spans="1:3" x14ac:dyDescent="0.35">
      <c r="A64" s="1" t="s">
        <v>89</v>
      </c>
      <c r="B64" s="1">
        <f t="shared" si="1"/>
        <v>45945</v>
      </c>
      <c r="C64" t="b">
        <f t="shared" si="0"/>
        <v>1</v>
      </c>
    </row>
    <row r="65" spans="1:3" x14ac:dyDescent="0.35">
      <c r="A65" s="1" t="s">
        <v>89</v>
      </c>
      <c r="B65" s="1">
        <f t="shared" si="1"/>
        <v>45945</v>
      </c>
      <c r="C65" t="b">
        <f t="shared" ref="C65:C102" si="2">ISNUMBER(B65)</f>
        <v>1</v>
      </c>
    </row>
    <row r="66" spans="1:3" x14ac:dyDescent="0.35">
      <c r="A66" s="1" t="s">
        <v>89</v>
      </c>
      <c r="B66" s="1">
        <f t="shared" ref="B66:B129" si="3">DATE(IF(LEN(A66)-LEN(SUBSTITUTE(A66,"/",""))=2,IF(LEN(RIGHT(A66,2))=2,2000+RIGHT(A66,2),RIGHT(A66,4)),RIGHT(A66,4)),MID(SUBSTITUTE(A66,"-","/"),FIND("/",SUBSTITUTE(A66,"-","/"))+1,FIND("/",SUBSTITUTE(A66,"-","/"),FIND("/",SUBSTITUTE(A66,"-","/"))+1)-FIND("/",SUBSTITUTE(A66,"-","/"))-1),LEFT(SUBSTITUTE(A66,"-","/"),FIND("/",SUBSTITUTE(A66,"-","/"))-1))</f>
        <v>45945</v>
      </c>
      <c r="C66" t="b">
        <f t="shared" si="2"/>
        <v>1</v>
      </c>
    </row>
    <row r="67" spans="1:3" x14ac:dyDescent="0.35">
      <c r="A67" s="1" t="s">
        <v>89</v>
      </c>
      <c r="B67" s="1">
        <f t="shared" si="3"/>
        <v>45945</v>
      </c>
      <c r="C67" t="b">
        <f t="shared" si="2"/>
        <v>1</v>
      </c>
    </row>
    <row r="68" spans="1:3" x14ac:dyDescent="0.35">
      <c r="A68" s="1" t="s">
        <v>89</v>
      </c>
      <c r="B68" s="1">
        <f t="shared" si="3"/>
        <v>45945</v>
      </c>
      <c r="C68" t="b">
        <f t="shared" si="2"/>
        <v>1</v>
      </c>
    </row>
    <row r="69" spans="1:3" x14ac:dyDescent="0.35">
      <c r="A69" s="1" t="s">
        <v>96</v>
      </c>
      <c r="B69" s="1">
        <f t="shared" si="3"/>
        <v>45944</v>
      </c>
      <c r="C69" t="b">
        <f t="shared" si="2"/>
        <v>1</v>
      </c>
    </row>
    <row r="70" spans="1:3" x14ac:dyDescent="0.35">
      <c r="A70" s="1" t="s">
        <v>96</v>
      </c>
      <c r="B70" s="1">
        <f t="shared" si="3"/>
        <v>45944</v>
      </c>
      <c r="C70" t="b">
        <f t="shared" si="2"/>
        <v>1</v>
      </c>
    </row>
    <row r="71" spans="1:3" x14ac:dyDescent="0.35">
      <c r="A71" s="1" t="s">
        <v>96</v>
      </c>
      <c r="B71" s="1">
        <f t="shared" si="3"/>
        <v>45944</v>
      </c>
      <c r="C71" t="b">
        <f t="shared" si="2"/>
        <v>1</v>
      </c>
    </row>
    <row r="72" spans="1:3" x14ac:dyDescent="0.35">
      <c r="A72" s="1" t="s">
        <v>96</v>
      </c>
      <c r="B72" s="1">
        <f t="shared" si="3"/>
        <v>45944</v>
      </c>
      <c r="C72" t="b">
        <f t="shared" si="2"/>
        <v>1</v>
      </c>
    </row>
    <row r="73" spans="1:3" x14ac:dyDescent="0.35">
      <c r="A73" s="1" t="s">
        <v>96</v>
      </c>
      <c r="B73" s="1">
        <f t="shared" si="3"/>
        <v>45944</v>
      </c>
      <c r="C73" t="b">
        <f t="shared" si="2"/>
        <v>1</v>
      </c>
    </row>
    <row r="74" spans="1:3" x14ac:dyDescent="0.35">
      <c r="A74" s="1" t="s">
        <v>96</v>
      </c>
      <c r="B74" s="1">
        <f t="shared" si="3"/>
        <v>45944</v>
      </c>
      <c r="C74" t="b">
        <f t="shared" si="2"/>
        <v>1</v>
      </c>
    </row>
    <row r="75" spans="1:3" x14ac:dyDescent="0.35">
      <c r="A75" s="1" t="s">
        <v>96</v>
      </c>
      <c r="B75" s="1">
        <f t="shared" si="3"/>
        <v>45944</v>
      </c>
      <c r="C75" t="b">
        <f t="shared" si="2"/>
        <v>1</v>
      </c>
    </row>
    <row r="76" spans="1:3" x14ac:dyDescent="0.35">
      <c r="A76" s="1" t="s">
        <v>96</v>
      </c>
      <c r="B76" s="1">
        <f t="shared" si="3"/>
        <v>45944</v>
      </c>
      <c r="C76" t="b">
        <f t="shared" si="2"/>
        <v>1</v>
      </c>
    </row>
    <row r="77" spans="1:3" x14ac:dyDescent="0.35">
      <c r="A77" s="1" t="s">
        <v>96</v>
      </c>
      <c r="B77" s="1">
        <f t="shared" si="3"/>
        <v>45944</v>
      </c>
      <c r="C77" t="b">
        <f t="shared" si="2"/>
        <v>1</v>
      </c>
    </row>
    <row r="78" spans="1:3" x14ac:dyDescent="0.35">
      <c r="A78" s="1" t="s">
        <v>96</v>
      </c>
      <c r="B78" s="1">
        <f t="shared" si="3"/>
        <v>45944</v>
      </c>
      <c r="C78" t="b">
        <f t="shared" si="2"/>
        <v>1</v>
      </c>
    </row>
    <row r="79" spans="1:3" x14ac:dyDescent="0.35">
      <c r="A79" s="1" t="s">
        <v>96</v>
      </c>
      <c r="B79" s="1">
        <f t="shared" si="3"/>
        <v>45944</v>
      </c>
      <c r="C79" t="b">
        <f t="shared" si="2"/>
        <v>1</v>
      </c>
    </row>
    <row r="80" spans="1:3" x14ac:dyDescent="0.35">
      <c r="A80" s="1" t="s">
        <v>96</v>
      </c>
      <c r="B80" s="1">
        <f t="shared" si="3"/>
        <v>45944</v>
      </c>
      <c r="C80" t="b">
        <f t="shared" si="2"/>
        <v>1</v>
      </c>
    </row>
    <row r="81" spans="1:3" x14ac:dyDescent="0.35">
      <c r="A81" s="1" t="s">
        <v>96</v>
      </c>
      <c r="B81" s="1">
        <f t="shared" si="3"/>
        <v>45944</v>
      </c>
      <c r="C81" t="b">
        <f t="shared" si="2"/>
        <v>1</v>
      </c>
    </row>
    <row r="82" spans="1:3" x14ac:dyDescent="0.35">
      <c r="A82" s="1" t="s">
        <v>96</v>
      </c>
      <c r="B82" s="1">
        <f t="shared" si="3"/>
        <v>45944</v>
      </c>
      <c r="C82" t="b">
        <f t="shared" si="2"/>
        <v>1</v>
      </c>
    </row>
    <row r="83" spans="1:3" x14ac:dyDescent="0.35">
      <c r="A83" s="1" t="s">
        <v>96</v>
      </c>
      <c r="B83" s="1">
        <f t="shared" si="3"/>
        <v>45944</v>
      </c>
      <c r="C83" t="b">
        <f t="shared" si="2"/>
        <v>1</v>
      </c>
    </row>
    <row r="84" spans="1:3" x14ac:dyDescent="0.35">
      <c r="A84" s="1" t="s">
        <v>96</v>
      </c>
      <c r="B84" s="1">
        <f t="shared" si="3"/>
        <v>45944</v>
      </c>
      <c r="C84" t="b">
        <f t="shared" si="2"/>
        <v>1</v>
      </c>
    </row>
    <row r="85" spans="1:3" x14ac:dyDescent="0.35">
      <c r="A85" s="1" t="s">
        <v>96</v>
      </c>
      <c r="B85" s="1">
        <f t="shared" si="3"/>
        <v>45944</v>
      </c>
      <c r="C85" t="b">
        <f t="shared" si="2"/>
        <v>1</v>
      </c>
    </row>
    <row r="86" spans="1:3" x14ac:dyDescent="0.35">
      <c r="A86" s="1" t="s">
        <v>96</v>
      </c>
      <c r="B86" s="1">
        <f t="shared" si="3"/>
        <v>45944</v>
      </c>
      <c r="C86" t="b">
        <f t="shared" si="2"/>
        <v>1</v>
      </c>
    </row>
    <row r="87" spans="1:3" x14ac:dyDescent="0.35">
      <c r="A87" s="1" t="s">
        <v>96</v>
      </c>
      <c r="B87" s="1">
        <f t="shared" si="3"/>
        <v>45944</v>
      </c>
      <c r="C87" t="b">
        <f t="shared" si="2"/>
        <v>1</v>
      </c>
    </row>
    <row r="88" spans="1:3" x14ac:dyDescent="0.35">
      <c r="A88" s="1" t="s">
        <v>96</v>
      </c>
      <c r="B88" s="1">
        <f t="shared" si="3"/>
        <v>45944</v>
      </c>
      <c r="C88" t="b">
        <f t="shared" si="2"/>
        <v>1</v>
      </c>
    </row>
    <row r="89" spans="1:3" x14ac:dyDescent="0.35">
      <c r="A89" s="1" t="s">
        <v>89</v>
      </c>
      <c r="B89" s="1">
        <f t="shared" si="3"/>
        <v>45945</v>
      </c>
      <c r="C89" t="b">
        <f t="shared" si="2"/>
        <v>1</v>
      </c>
    </row>
    <row r="90" spans="1:3" x14ac:dyDescent="0.35">
      <c r="A90" s="1" t="s">
        <v>89</v>
      </c>
      <c r="B90" s="1">
        <f t="shared" si="3"/>
        <v>45945</v>
      </c>
      <c r="C90" t="b">
        <f t="shared" si="2"/>
        <v>1</v>
      </c>
    </row>
    <row r="91" spans="1:3" x14ac:dyDescent="0.35">
      <c r="A91" s="1" t="s">
        <v>89</v>
      </c>
      <c r="B91" s="1">
        <f t="shared" si="3"/>
        <v>45945</v>
      </c>
      <c r="C91" t="b">
        <f t="shared" si="2"/>
        <v>1</v>
      </c>
    </row>
    <row r="92" spans="1:3" x14ac:dyDescent="0.35">
      <c r="A92" s="1" t="s">
        <v>89</v>
      </c>
      <c r="B92" s="1">
        <f t="shared" si="3"/>
        <v>45945</v>
      </c>
      <c r="C92" t="b">
        <f t="shared" si="2"/>
        <v>1</v>
      </c>
    </row>
    <row r="93" spans="1:3" x14ac:dyDescent="0.35">
      <c r="A93" s="1" t="s">
        <v>89</v>
      </c>
      <c r="B93" s="1">
        <f t="shared" si="3"/>
        <v>45945</v>
      </c>
      <c r="C93" t="b">
        <f t="shared" si="2"/>
        <v>1</v>
      </c>
    </row>
    <row r="94" spans="1:3" x14ac:dyDescent="0.35">
      <c r="A94" s="1" t="s">
        <v>89</v>
      </c>
      <c r="B94" s="1">
        <f t="shared" si="3"/>
        <v>45945</v>
      </c>
      <c r="C94" t="b">
        <f t="shared" si="2"/>
        <v>1</v>
      </c>
    </row>
    <row r="95" spans="1:3" x14ac:dyDescent="0.35">
      <c r="A95" s="1" t="s">
        <v>89</v>
      </c>
      <c r="B95" s="1">
        <f t="shared" si="3"/>
        <v>45945</v>
      </c>
      <c r="C95" t="b">
        <f t="shared" si="2"/>
        <v>1</v>
      </c>
    </row>
    <row r="96" spans="1:3" x14ac:dyDescent="0.35">
      <c r="A96" s="1" t="s">
        <v>89</v>
      </c>
      <c r="B96" s="1">
        <f t="shared" si="3"/>
        <v>45945</v>
      </c>
      <c r="C96" t="b">
        <f t="shared" si="2"/>
        <v>1</v>
      </c>
    </row>
    <row r="97" spans="1:3" x14ac:dyDescent="0.35">
      <c r="A97" s="1" t="s">
        <v>89</v>
      </c>
      <c r="B97" s="1">
        <f t="shared" si="3"/>
        <v>45945</v>
      </c>
      <c r="C97" t="b">
        <f t="shared" si="2"/>
        <v>1</v>
      </c>
    </row>
    <row r="98" spans="1:3" x14ac:dyDescent="0.35">
      <c r="A98" s="1" t="s">
        <v>89</v>
      </c>
      <c r="B98" s="1">
        <f t="shared" si="3"/>
        <v>45945</v>
      </c>
      <c r="C98" t="b">
        <f t="shared" si="2"/>
        <v>1</v>
      </c>
    </row>
    <row r="99" spans="1:3" x14ac:dyDescent="0.35">
      <c r="A99" s="1" t="s">
        <v>103</v>
      </c>
      <c r="B99" s="1">
        <f t="shared" si="3"/>
        <v>45946</v>
      </c>
      <c r="C99" t="b">
        <f t="shared" si="2"/>
        <v>1</v>
      </c>
    </row>
    <row r="100" spans="1:3" x14ac:dyDescent="0.35">
      <c r="A100" s="1" t="s">
        <v>120</v>
      </c>
      <c r="B100" s="1">
        <f t="shared" si="3"/>
        <v>45951</v>
      </c>
      <c r="C100" t="b">
        <f t="shared" si="2"/>
        <v>1</v>
      </c>
    </row>
    <row r="101" spans="1:3" x14ac:dyDescent="0.35">
      <c r="A101" s="1" t="s">
        <v>120</v>
      </c>
      <c r="B101" s="1">
        <f t="shared" si="3"/>
        <v>45951</v>
      </c>
      <c r="C101" t="b">
        <f t="shared" si="2"/>
        <v>1</v>
      </c>
    </row>
    <row r="102" spans="1:3" x14ac:dyDescent="0.35">
      <c r="A102" s="1" t="s">
        <v>46</v>
      </c>
      <c r="B102" s="1">
        <f t="shared" si="3"/>
        <v>45799</v>
      </c>
      <c r="C102" t="b">
        <f t="shared" si="2"/>
        <v>1</v>
      </c>
    </row>
    <row r="103" spans="1:3" x14ac:dyDescent="0.35">
      <c r="A103" s="1" t="s">
        <v>46</v>
      </c>
      <c r="B103" s="1">
        <f t="shared" si="3"/>
        <v>45799</v>
      </c>
      <c r="C103" t="b">
        <f>ISNUMBER(B103)</f>
        <v>1</v>
      </c>
    </row>
    <row r="104" spans="1:3" x14ac:dyDescent="0.35">
      <c r="A104" s="1" t="s">
        <v>46</v>
      </c>
      <c r="B104" s="1">
        <f t="shared" si="3"/>
        <v>45799</v>
      </c>
      <c r="C104" t="b">
        <f t="shared" ref="C104:C167" si="4">ISNUMBER(B104)</f>
        <v>1</v>
      </c>
    </row>
    <row r="105" spans="1:3" x14ac:dyDescent="0.35">
      <c r="A105" s="1" t="s">
        <v>46</v>
      </c>
      <c r="B105" s="1">
        <f t="shared" si="3"/>
        <v>45799</v>
      </c>
      <c r="C105" t="b">
        <f t="shared" si="4"/>
        <v>1</v>
      </c>
    </row>
    <row r="106" spans="1:3" x14ac:dyDescent="0.35">
      <c r="A106" s="1" t="s">
        <v>52</v>
      </c>
      <c r="B106" s="1">
        <f t="shared" si="3"/>
        <v>45791</v>
      </c>
      <c r="C106" t="b">
        <f t="shared" si="4"/>
        <v>1</v>
      </c>
    </row>
    <row r="107" spans="1:3" x14ac:dyDescent="0.35">
      <c r="A107" s="1" t="s">
        <v>56</v>
      </c>
      <c r="B107" s="1">
        <f t="shared" si="3"/>
        <v>45791</v>
      </c>
      <c r="C107" t="b">
        <f t="shared" si="4"/>
        <v>1</v>
      </c>
    </row>
    <row r="108" spans="1:3" x14ac:dyDescent="0.35">
      <c r="A108" s="1" t="s">
        <v>52</v>
      </c>
      <c r="B108" s="1">
        <f t="shared" si="3"/>
        <v>45791</v>
      </c>
      <c r="C108" t="b">
        <f t="shared" si="4"/>
        <v>1</v>
      </c>
    </row>
    <row r="109" spans="1:3" x14ac:dyDescent="0.35">
      <c r="A109" s="1" t="s">
        <v>56</v>
      </c>
      <c r="B109" s="1">
        <f t="shared" si="3"/>
        <v>45791</v>
      </c>
      <c r="C109" t="b">
        <f t="shared" si="4"/>
        <v>1</v>
      </c>
    </row>
    <row r="110" spans="1:3" x14ac:dyDescent="0.35">
      <c r="A110" s="1" t="s">
        <v>89</v>
      </c>
      <c r="B110" s="1">
        <f t="shared" si="3"/>
        <v>45945</v>
      </c>
      <c r="C110" t="b">
        <f t="shared" si="4"/>
        <v>1</v>
      </c>
    </row>
    <row r="111" spans="1:3" x14ac:dyDescent="0.35">
      <c r="A111" s="1" t="s">
        <v>89</v>
      </c>
      <c r="B111" s="1">
        <f t="shared" si="3"/>
        <v>45945</v>
      </c>
      <c r="C111" t="b">
        <f t="shared" si="4"/>
        <v>1</v>
      </c>
    </row>
    <row r="112" spans="1:3" x14ac:dyDescent="0.35">
      <c r="A112" s="1" t="s">
        <v>96</v>
      </c>
      <c r="B112" s="1">
        <f t="shared" si="3"/>
        <v>45944</v>
      </c>
      <c r="C112" t="b">
        <f t="shared" si="4"/>
        <v>1</v>
      </c>
    </row>
    <row r="113" spans="1:3" x14ac:dyDescent="0.35">
      <c r="A113" s="1" t="s">
        <v>96</v>
      </c>
      <c r="B113" s="1">
        <f t="shared" si="3"/>
        <v>45944</v>
      </c>
      <c r="C113" t="b">
        <f t="shared" si="4"/>
        <v>1</v>
      </c>
    </row>
    <row r="114" spans="1:3" x14ac:dyDescent="0.35">
      <c r="A114" s="1" t="s">
        <v>96</v>
      </c>
      <c r="B114" s="1">
        <f t="shared" si="3"/>
        <v>45944</v>
      </c>
      <c r="C114" t="b">
        <f t="shared" si="4"/>
        <v>1</v>
      </c>
    </row>
    <row r="115" spans="1:3" x14ac:dyDescent="0.35">
      <c r="A115" s="1" t="s">
        <v>96</v>
      </c>
      <c r="B115" s="1">
        <f t="shared" si="3"/>
        <v>45944</v>
      </c>
      <c r="C115" t="b">
        <f t="shared" si="4"/>
        <v>1</v>
      </c>
    </row>
    <row r="116" spans="1:3" x14ac:dyDescent="0.35">
      <c r="A116" s="1" t="s">
        <v>89</v>
      </c>
      <c r="B116" s="1">
        <f t="shared" si="3"/>
        <v>45945</v>
      </c>
      <c r="C116" t="b">
        <f t="shared" si="4"/>
        <v>1</v>
      </c>
    </row>
    <row r="117" spans="1:3" x14ac:dyDescent="0.35">
      <c r="A117" s="1" t="s">
        <v>89</v>
      </c>
      <c r="B117" s="1">
        <f t="shared" si="3"/>
        <v>45945</v>
      </c>
      <c r="C117" t="b">
        <f t="shared" si="4"/>
        <v>1</v>
      </c>
    </row>
    <row r="118" spans="1:3" x14ac:dyDescent="0.35">
      <c r="A118" s="1" t="s">
        <v>96</v>
      </c>
      <c r="B118" s="1">
        <f t="shared" si="3"/>
        <v>45944</v>
      </c>
      <c r="C118" t="b">
        <f t="shared" si="4"/>
        <v>1</v>
      </c>
    </row>
    <row r="119" spans="1:3" x14ac:dyDescent="0.35">
      <c r="A119" s="1" t="s">
        <v>96</v>
      </c>
      <c r="B119" s="1">
        <f t="shared" si="3"/>
        <v>45944</v>
      </c>
      <c r="C119" t="b">
        <f t="shared" si="4"/>
        <v>1</v>
      </c>
    </row>
    <row r="120" spans="1:3" x14ac:dyDescent="0.35">
      <c r="A120" s="1" t="s">
        <v>120</v>
      </c>
      <c r="B120" s="1">
        <f t="shared" si="3"/>
        <v>45951</v>
      </c>
      <c r="C120" t="b">
        <f t="shared" si="4"/>
        <v>1</v>
      </c>
    </row>
    <row r="121" spans="1:3" x14ac:dyDescent="0.35">
      <c r="A121" s="1">
        <v>46361</v>
      </c>
      <c r="B121" s="1">
        <v>46361</v>
      </c>
      <c r="C121" t="b">
        <f>ISNUMBER(A121)</f>
        <v>1</v>
      </c>
    </row>
    <row r="122" spans="1:3" x14ac:dyDescent="0.35">
      <c r="A122" s="1">
        <v>46361</v>
      </c>
      <c r="B122" s="1">
        <v>46361</v>
      </c>
      <c r="C122" t="b">
        <f t="shared" si="4"/>
        <v>1</v>
      </c>
    </row>
    <row r="123" spans="1:3" x14ac:dyDescent="0.35">
      <c r="A123" s="1" t="s">
        <v>120</v>
      </c>
      <c r="B123" s="1">
        <f t="shared" si="3"/>
        <v>45951</v>
      </c>
      <c r="C123" t="b">
        <f t="shared" si="4"/>
        <v>1</v>
      </c>
    </row>
    <row r="124" spans="1:3" x14ac:dyDescent="0.35">
      <c r="A124" s="1" t="s">
        <v>120</v>
      </c>
      <c r="B124" s="1">
        <f t="shared" si="3"/>
        <v>45951</v>
      </c>
      <c r="C124" t="b">
        <f t="shared" si="4"/>
        <v>1</v>
      </c>
    </row>
    <row r="125" spans="1:3" x14ac:dyDescent="0.35">
      <c r="A125" s="1">
        <v>45996</v>
      </c>
      <c r="B125" s="1">
        <v>45996</v>
      </c>
      <c r="C125" t="b">
        <f t="shared" si="4"/>
        <v>1</v>
      </c>
    </row>
    <row r="126" spans="1:3" x14ac:dyDescent="0.35">
      <c r="A126" s="1" t="s">
        <v>56</v>
      </c>
      <c r="B126" s="1">
        <f t="shared" si="3"/>
        <v>45791</v>
      </c>
      <c r="C126" t="b">
        <f t="shared" si="4"/>
        <v>1</v>
      </c>
    </row>
    <row r="127" spans="1:3" x14ac:dyDescent="0.35">
      <c r="A127" s="1" t="s">
        <v>15</v>
      </c>
      <c r="B127" s="1">
        <f t="shared" si="3"/>
        <v>45792</v>
      </c>
      <c r="C127" t="b">
        <f t="shared" si="4"/>
        <v>1</v>
      </c>
    </row>
    <row r="128" spans="1:3" x14ac:dyDescent="0.35">
      <c r="A128" s="1">
        <v>45996</v>
      </c>
      <c r="B128" s="1">
        <v>45996</v>
      </c>
      <c r="C128" t="b">
        <f t="shared" si="4"/>
        <v>1</v>
      </c>
    </row>
    <row r="129" spans="1:3" x14ac:dyDescent="0.35">
      <c r="A129" s="1" t="s">
        <v>56</v>
      </c>
      <c r="B129" s="1">
        <f t="shared" si="3"/>
        <v>45791</v>
      </c>
      <c r="C129" t="b">
        <f t="shared" si="4"/>
        <v>1</v>
      </c>
    </row>
    <row r="130" spans="1:3" x14ac:dyDescent="0.35">
      <c r="A130" s="1" t="s">
        <v>15</v>
      </c>
      <c r="B130" s="1">
        <f t="shared" ref="B130:B181" si="5">DATE(IF(LEN(A130)-LEN(SUBSTITUTE(A130,"/",""))=2,IF(LEN(RIGHT(A130,2))=2,2000+RIGHT(A130,2),RIGHT(A130,4)),RIGHT(A130,4)),MID(SUBSTITUTE(A130,"-","/"),FIND("/",SUBSTITUTE(A130,"-","/"))+1,FIND("/",SUBSTITUTE(A130,"-","/"),FIND("/",SUBSTITUTE(A130,"-","/"))+1)-FIND("/",SUBSTITUTE(A130,"-","/"))-1),LEFT(SUBSTITUTE(A130,"-","/"),FIND("/",SUBSTITUTE(A130,"-","/"))-1))</f>
        <v>45792</v>
      </c>
      <c r="C130" t="b">
        <f t="shared" si="4"/>
        <v>1</v>
      </c>
    </row>
    <row r="131" spans="1:3" x14ac:dyDescent="0.35">
      <c r="A131" s="1" t="s">
        <v>15</v>
      </c>
      <c r="B131" s="1">
        <f t="shared" si="5"/>
        <v>45792</v>
      </c>
      <c r="C131" t="b">
        <f t="shared" si="4"/>
        <v>1</v>
      </c>
    </row>
    <row r="132" spans="1:3" x14ac:dyDescent="0.35">
      <c r="A132" s="1" t="s">
        <v>15</v>
      </c>
      <c r="B132" s="1">
        <f t="shared" si="5"/>
        <v>45792</v>
      </c>
      <c r="C132" t="b">
        <f t="shared" si="4"/>
        <v>1</v>
      </c>
    </row>
    <row r="133" spans="1:3" x14ac:dyDescent="0.35">
      <c r="A133" s="1" t="s">
        <v>15</v>
      </c>
      <c r="B133" s="1">
        <f t="shared" si="5"/>
        <v>45792</v>
      </c>
      <c r="C133" t="b">
        <f t="shared" si="4"/>
        <v>1</v>
      </c>
    </row>
    <row r="134" spans="1:3" x14ac:dyDescent="0.35">
      <c r="A134" s="1" t="s">
        <v>15</v>
      </c>
      <c r="B134" s="1">
        <f t="shared" si="5"/>
        <v>45792</v>
      </c>
      <c r="C134" t="b">
        <f t="shared" si="4"/>
        <v>1</v>
      </c>
    </row>
    <row r="135" spans="1:3" x14ac:dyDescent="0.35">
      <c r="A135" s="1" t="s">
        <v>15</v>
      </c>
      <c r="B135" s="1">
        <f t="shared" si="5"/>
        <v>45792</v>
      </c>
      <c r="C135" t="b">
        <f t="shared" si="4"/>
        <v>1</v>
      </c>
    </row>
    <row r="136" spans="1:3" x14ac:dyDescent="0.35">
      <c r="A136" s="1" t="s">
        <v>15</v>
      </c>
      <c r="B136" s="1">
        <f t="shared" si="5"/>
        <v>45792</v>
      </c>
      <c r="C136" t="b">
        <f t="shared" si="4"/>
        <v>1</v>
      </c>
    </row>
    <row r="137" spans="1:3" x14ac:dyDescent="0.35">
      <c r="A137" s="1" t="s">
        <v>15</v>
      </c>
      <c r="B137" s="1">
        <f t="shared" si="5"/>
        <v>45792</v>
      </c>
      <c r="C137" t="b">
        <f t="shared" si="4"/>
        <v>1</v>
      </c>
    </row>
    <row r="138" spans="1:3" x14ac:dyDescent="0.35">
      <c r="A138" s="1" t="s">
        <v>15</v>
      </c>
      <c r="B138" s="1">
        <f t="shared" si="5"/>
        <v>45792</v>
      </c>
      <c r="C138" t="b">
        <f t="shared" si="4"/>
        <v>1</v>
      </c>
    </row>
    <row r="139" spans="1:3" x14ac:dyDescent="0.35">
      <c r="A139" s="1" t="s">
        <v>15</v>
      </c>
      <c r="B139" s="1">
        <f t="shared" si="5"/>
        <v>45792</v>
      </c>
      <c r="C139" t="b">
        <f t="shared" si="4"/>
        <v>1</v>
      </c>
    </row>
    <row r="140" spans="1:3" x14ac:dyDescent="0.35">
      <c r="A140" s="1" t="s">
        <v>15</v>
      </c>
      <c r="B140" s="1">
        <f t="shared" si="5"/>
        <v>45792</v>
      </c>
      <c r="C140" t="b">
        <f t="shared" si="4"/>
        <v>1</v>
      </c>
    </row>
    <row r="141" spans="1:3" x14ac:dyDescent="0.35">
      <c r="A141" s="1" t="s">
        <v>15</v>
      </c>
      <c r="B141" s="1">
        <f t="shared" si="5"/>
        <v>45792</v>
      </c>
      <c r="C141" t="b">
        <f t="shared" si="4"/>
        <v>1</v>
      </c>
    </row>
    <row r="142" spans="1:3" x14ac:dyDescent="0.35">
      <c r="A142" s="1" t="s">
        <v>15</v>
      </c>
      <c r="B142" s="1">
        <f t="shared" si="5"/>
        <v>45792</v>
      </c>
      <c r="C142" t="b">
        <f t="shared" si="4"/>
        <v>1</v>
      </c>
    </row>
    <row r="143" spans="1:3" x14ac:dyDescent="0.35">
      <c r="A143" s="1" t="s">
        <v>71</v>
      </c>
      <c r="B143" s="1">
        <f t="shared" si="5"/>
        <v>45859</v>
      </c>
      <c r="C143" t="b">
        <f t="shared" si="4"/>
        <v>1</v>
      </c>
    </row>
    <row r="144" spans="1:3" x14ac:dyDescent="0.35">
      <c r="A144" s="1" t="s">
        <v>71</v>
      </c>
      <c r="B144" s="1">
        <f t="shared" si="5"/>
        <v>45859</v>
      </c>
      <c r="C144" t="b">
        <f t="shared" si="4"/>
        <v>1</v>
      </c>
    </row>
    <row r="145" spans="1:3" x14ac:dyDescent="0.35">
      <c r="A145" s="1" t="s">
        <v>71</v>
      </c>
      <c r="B145" s="1">
        <f t="shared" si="5"/>
        <v>45859</v>
      </c>
      <c r="C145" t="b">
        <f t="shared" si="4"/>
        <v>1</v>
      </c>
    </row>
    <row r="146" spans="1:3" x14ac:dyDescent="0.35">
      <c r="A146" s="1" t="s">
        <v>15</v>
      </c>
      <c r="B146" s="1">
        <f t="shared" si="5"/>
        <v>45792</v>
      </c>
      <c r="C146" t="b">
        <f t="shared" si="4"/>
        <v>1</v>
      </c>
    </row>
    <row r="147" spans="1:3" x14ac:dyDescent="0.35">
      <c r="A147" s="1" t="s">
        <v>15</v>
      </c>
      <c r="B147" s="1">
        <f t="shared" si="5"/>
        <v>45792</v>
      </c>
      <c r="C147" t="b">
        <f t="shared" si="4"/>
        <v>1</v>
      </c>
    </row>
    <row r="148" spans="1:3" x14ac:dyDescent="0.35">
      <c r="A148" s="1" t="s">
        <v>15</v>
      </c>
      <c r="B148" s="1">
        <f t="shared" si="5"/>
        <v>45792</v>
      </c>
      <c r="C148" t="b">
        <f t="shared" si="4"/>
        <v>1</v>
      </c>
    </row>
    <row r="149" spans="1:3" x14ac:dyDescent="0.35">
      <c r="A149" s="1" t="s">
        <v>15</v>
      </c>
      <c r="B149" s="1">
        <f t="shared" si="5"/>
        <v>45792</v>
      </c>
      <c r="C149" t="b">
        <f t="shared" si="4"/>
        <v>1</v>
      </c>
    </row>
    <row r="150" spans="1:3" x14ac:dyDescent="0.35">
      <c r="A150" s="1" t="s">
        <v>15</v>
      </c>
      <c r="B150" s="1">
        <f t="shared" si="5"/>
        <v>45792</v>
      </c>
      <c r="C150" t="b">
        <f t="shared" si="4"/>
        <v>1</v>
      </c>
    </row>
    <row r="151" spans="1:3" x14ac:dyDescent="0.35">
      <c r="A151" s="1" t="s">
        <v>15</v>
      </c>
      <c r="B151" s="1">
        <f t="shared" si="5"/>
        <v>45792</v>
      </c>
      <c r="C151" t="b">
        <f t="shared" si="4"/>
        <v>1</v>
      </c>
    </row>
    <row r="152" spans="1:3" x14ac:dyDescent="0.35">
      <c r="A152" s="1" t="s">
        <v>15</v>
      </c>
      <c r="B152" s="1">
        <f t="shared" si="5"/>
        <v>45792</v>
      </c>
      <c r="C152" t="b">
        <f t="shared" si="4"/>
        <v>1</v>
      </c>
    </row>
    <row r="153" spans="1:3" x14ac:dyDescent="0.35">
      <c r="A153" s="1" t="s">
        <v>15</v>
      </c>
      <c r="B153" s="1">
        <f t="shared" si="5"/>
        <v>45792</v>
      </c>
      <c r="C153" t="b">
        <f t="shared" si="4"/>
        <v>1</v>
      </c>
    </row>
    <row r="154" spans="1:3" x14ac:dyDescent="0.35">
      <c r="A154" s="1" t="s">
        <v>15</v>
      </c>
      <c r="B154" s="1">
        <f t="shared" si="5"/>
        <v>45792</v>
      </c>
      <c r="C154" t="b">
        <f t="shared" si="4"/>
        <v>1</v>
      </c>
    </row>
    <row r="155" spans="1:3" x14ac:dyDescent="0.35">
      <c r="A155" s="1" t="s">
        <v>15</v>
      </c>
      <c r="B155" s="1">
        <f t="shared" si="5"/>
        <v>45792</v>
      </c>
      <c r="C155" t="b">
        <f t="shared" si="4"/>
        <v>1</v>
      </c>
    </row>
    <row r="156" spans="1:3" x14ac:dyDescent="0.35">
      <c r="A156" s="1" t="s">
        <v>15</v>
      </c>
      <c r="B156" s="1">
        <f t="shared" si="5"/>
        <v>45792</v>
      </c>
      <c r="C156" t="b">
        <f t="shared" si="4"/>
        <v>1</v>
      </c>
    </row>
    <row r="157" spans="1:3" x14ac:dyDescent="0.35">
      <c r="A157" s="1" t="s">
        <v>15</v>
      </c>
      <c r="B157" s="1">
        <f t="shared" si="5"/>
        <v>45792</v>
      </c>
      <c r="C157" t="b">
        <f t="shared" si="4"/>
        <v>1</v>
      </c>
    </row>
    <row r="158" spans="1:3" x14ac:dyDescent="0.35">
      <c r="A158" s="1" t="s">
        <v>71</v>
      </c>
      <c r="B158" s="1">
        <f t="shared" si="5"/>
        <v>45859</v>
      </c>
      <c r="C158" t="b">
        <f t="shared" si="4"/>
        <v>1</v>
      </c>
    </row>
    <row r="159" spans="1:3" x14ac:dyDescent="0.35">
      <c r="A159" s="1" t="s">
        <v>71</v>
      </c>
      <c r="B159" s="1">
        <f t="shared" si="5"/>
        <v>45859</v>
      </c>
      <c r="C159" t="b">
        <f t="shared" si="4"/>
        <v>1</v>
      </c>
    </row>
    <row r="160" spans="1:3" x14ac:dyDescent="0.35">
      <c r="A160" s="1" t="s">
        <v>71</v>
      </c>
      <c r="B160" s="1">
        <f t="shared" si="5"/>
        <v>45859</v>
      </c>
      <c r="C160" t="b">
        <f t="shared" si="4"/>
        <v>1</v>
      </c>
    </row>
    <row r="161" spans="1:3" x14ac:dyDescent="0.35">
      <c r="A161" s="1" t="s">
        <v>89</v>
      </c>
      <c r="B161" s="1">
        <f t="shared" si="5"/>
        <v>45945</v>
      </c>
      <c r="C161" t="b">
        <f t="shared" si="4"/>
        <v>1</v>
      </c>
    </row>
    <row r="162" spans="1:3" x14ac:dyDescent="0.35">
      <c r="A162" s="1" t="s">
        <v>96</v>
      </c>
      <c r="B162" s="1">
        <f t="shared" si="5"/>
        <v>45944</v>
      </c>
      <c r="C162" t="b">
        <f t="shared" si="4"/>
        <v>1</v>
      </c>
    </row>
    <row r="163" spans="1:3" x14ac:dyDescent="0.35">
      <c r="A163" s="1" t="s">
        <v>96</v>
      </c>
      <c r="B163" s="1">
        <f t="shared" si="5"/>
        <v>45944</v>
      </c>
      <c r="C163" t="b">
        <f t="shared" si="4"/>
        <v>1</v>
      </c>
    </row>
    <row r="164" spans="1:3" x14ac:dyDescent="0.35">
      <c r="A164" s="1" t="s">
        <v>96</v>
      </c>
      <c r="B164" s="1">
        <f t="shared" si="5"/>
        <v>45944</v>
      </c>
      <c r="C164" t="b">
        <f t="shared" si="4"/>
        <v>1</v>
      </c>
    </row>
    <row r="165" spans="1:3" x14ac:dyDescent="0.35">
      <c r="A165" s="1" t="s">
        <v>96</v>
      </c>
      <c r="B165" s="1">
        <f t="shared" si="5"/>
        <v>45944</v>
      </c>
      <c r="C165" t="b">
        <f t="shared" si="4"/>
        <v>1</v>
      </c>
    </row>
    <row r="166" spans="1:3" x14ac:dyDescent="0.35">
      <c r="A166" s="1" t="s">
        <v>96</v>
      </c>
      <c r="B166" s="1">
        <f t="shared" si="5"/>
        <v>45944</v>
      </c>
      <c r="C166" t="b">
        <f t="shared" si="4"/>
        <v>1</v>
      </c>
    </row>
    <row r="167" spans="1:3" x14ac:dyDescent="0.35">
      <c r="A167" s="1" t="s">
        <v>96</v>
      </c>
      <c r="B167" s="1">
        <f t="shared" si="5"/>
        <v>45944</v>
      </c>
      <c r="C167" t="b">
        <f t="shared" si="4"/>
        <v>1</v>
      </c>
    </row>
    <row r="168" spans="1:3" x14ac:dyDescent="0.35">
      <c r="A168" s="1" t="s">
        <v>96</v>
      </c>
      <c r="B168" s="1">
        <f t="shared" si="5"/>
        <v>45944</v>
      </c>
      <c r="C168" t="b">
        <f t="shared" ref="C168:C231" si="6">ISNUMBER(B168)</f>
        <v>1</v>
      </c>
    </row>
    <row r="169" spans="1:3" x14ac:dyDescent="0.35">
      <c r="A169" s="1" t="s">
        <v>96</v>
      </c>
      <c r="B169" s="1">
        <f t="shared" si="5"/>
        <v>45944</v>
      </c>
      <c r="C169" t="b">
        <f t="shared" si="6"/>
        <v>1</v>
      </c>
    </row>
    <row r="170" spans="1:3" x14ac:dyDescent="0.35">
      <c r="A170" s="1" t="s">
        <v>96</v>
      </c>
      <c r="B170" s="1">
        <f t="shared" si="5"/>
        <v>45944</v>
      </c>
      <c r="C170" t="b">
        <f t="shared" si="6"/>
        <v>1</v>
      </c>
    </row>
    <row r="171" spans="1:3" x14ac:dyDescent="0.35">
      <c r="A171" s="1" t="s">
        <v>96</v>
      </c>
      <c r="B171" s="1">
        <f t="shared" si="5"/>
        <v>45944</v>
      </c>
      <c r="C171" t="b">
        <f t="shared" si="6"/>
        <v>1</v>
      </c>
    </row>
    <row r="172" spans="1:3" x14ac:dyDescent="0.35">
      <c r="A172" s="1" t="s">
        <v>96</v>
      </c>
      <c r="B172" s="1">
        <f t="shared" si="5"/>
        <v>45944</v>
      </c>
      <c r="C172" t="b">
        <f t="shared" si="6"/>
        <v>1</v>
      </c>
    </row>
    <row r="173" spans="1:3" x14ac:dyDescent="0.35">
      <c r="A173" s="1" t="s">
        <v>96</v>
      </c>
      <c r="B173" s="1">
        <f t="shared" si="5"/>
        <v>45944</v>
      </c>
      <c r="C173" t="b">
        <f t="shared" si="6"/>
        <v>1</v>
      </c>
    </row>
    <row r="174" spans="1:3" x14ac:dyDescent="0.35">
      <c r="A174" s="1" t="s">
        <v>96</v>
      </c>
      <c r="B174" s="1">
        <f t="shared" si="5"/>
        <v>45944</v>
      </c>
      <c r="C174" t="b">
        <f t="shared" si="6"/>
        <v>1</v>
      </c>
    </row>
    <row r="175" spans="1:3" x14ac:dyDescent="0.35">
      <c r="A175" s="1" t="s">
        <v>96</v>
      </c>
      <c r="B175" s="1">
        <f t="shared" si="5"/>
        <v>45944</v>
      </c>
      <c r="C175" t="b">
        <f t="shared" si="6"/>
        <v>1</v>
      </c>
    </row>
    <row r="176" spans="1:3" x14ac:dyDescent="0.35">
      <c r="A176" s="1" t="s">
        <v>96</v>
      </c>
      <c r="B176" s="1">
        <f t="shared" si="5"/>
        <v>45944</v>
      </c>
      <c r="C176" t="b">
        <f t="shared" si="6"/>
        <v>1</v>
      </c>
    </row>
    <row r="177" spans="1:3" x14ac:dyDescent="0.35">
      <c r="A177" s="1" t="s">
        <v>96</v>
      </c>
      <c r="B177" s="1">
        <f t="shared" si="5"/>
        <v>45944</v>
      </c>
      <c r="C177" t="b">
        <f t="shared" si="6"/>
        <v>1</v>
      </c>
    </row>
    <row r="178" spans="1:3" x14ac:dyDescent="0.35">
      <c r="A178" s="1" t="s">
        <v>96</v>
      </c>
      <c r="B178" s="1">
        <f t="shared" si="5"/>
        <v>45944</v>
      </c>
      <c r="C178" t="b">
        <f t="shared" si="6"/>
        <v>1</v>
      </c>
    </row>
    <row r="179" spans="1:3" x14ac:dyDescent="0.35">
      <c r="A179" s="1" t="s">
        <v>89</v>
      </c>
      <c r="B179" s="1">
        <f t="shared" si="5"/>
        <v>45945</v>
      </c>
      <c r="C179" t="b">
        <f t="shared" si="6"/>
        <v>1</v>
      </c>
    </row>
    <row r="180" spans="1:3" x14ac:dyDescent="0.35">
      <c r="A180" s="1" t="s">
        <v>89</v>
      </c>
      <c r="B180" s="1">
        <f t="shared" si="5"/>
        <v>45945</v>
      </c>
      <c r="C180" t="b">
        <f t="shared" si="6"/>
        <v>1</v>
      </c>
    </row>
    <row r="181" spans="1:3" x14ac:dyDescent="0.35">
      <c r="A181" s="1" t="s">
        <v>89</v>
      </c>
      <c r="B181" s="1">
        <f t="shared" si="5"/>
        <v>45945</v>
      </c>
      <c r="C181" t="b">
        <f t="shared" si="6"/>
        <v>1</v>
      </c>
    </row>
    <row r="182" spans="1:3" x14ac:dyDescent="0.35">
      <c r="A182" s="1">
        <v>46361</v>
      </c>
      <c r="B182" s="1">
        <v>46361</v>
      </c>
      <c r="C182" t="b">
        <f t="shared" si="6"/>
        <v>1</v>
      </c>
    </row>
    <row r="183" spans="1:3" x14ac:dyDescent="0.35">
      <c r="A183" s="1">
        <v>46361</v>
      </c>
      <c r="B183" s="1">
        <v>46361</v>
      </c>
      <c r="C183" t="b">
        <f t="shared" si="6"/>
        <v>1</v>
      </c>
    </row>
    <row r="184" spans="1:3" x14ac:dyDescent="0.35">
      <c r="A184" s="1">
        <v>45996</v>
      </c>
      <c r="B184" s="1">
        <v>45996</v>
      </c>
      <c r="C184" t="b">
        <f t="shared" si="6"/>
        <v>1</v>
      </c>
    </row>
    <row r="185" spans="1:3" x14ac:dyDescent="0.35">
      <c r="A185" s="1">
        <v>45996</v>
      </c>
      <c r="B185" s="1">
        <v>45996</v>
      </c>
      <c r="C185" t="b">
        <f t="shared" si="6"/>
        <v>1</v>
      </c>
    </row>
    <row r="186" spans="1:3" x14ac:dyDescent="0.35">
      <c r="A186" s="1">
        <v>45996</v>
      </c>
      <c r="B186" s="1">
        <v>45996</v>
      </c>
      <c r="C186" t="b">
        <f t="shared" si="6"/>
        <v>1</v>
      </c>
    </row>
    <row r="187" spans="1:3" x14ac:dyDescent="0.35">
      <c r="A187" s="1">
        <v>45996</v>
      </c>
      <c r="B187" s="1">
        <v>45996</v>
      </c>
      <c r="C187" t="b">
        <f t="shared" si="6"/>
        <v>1</v>
      </c>
    </row>
    <row r="188" spans="1:3" x14ac:dyDescent="0.35">
      <c r="A188" s="1">
        <v>46361</v>
      </c>
      <c r="B188" s="1">
        <v>46361</v>
      </c>
      <c r="C188" t="b">
        <f t="shared" si="6"/>
        <v>1</v>
      </c>
    </row>
    <row r="189" spans="1:3" x14ac:dyDescent="0.35">
      <c r="A189" s="1">
        <v>46361</v>
      </c>
      <c r="B189" s="1">
        <v>46361</v>
      </c>
      <c r="C189" t="b">
        <f t="shared" si="6"/>
        <v>1</v>
      </c>
    </row>
    <row r="190" spans="1:3" x14ac:dyDescent="0.35">
      <c r="A190" s="1">
        <v>45996</v>
      </c>
      <c r="B190" s="1">
        <v>45996</v>
      </c>
      <c r="C190" t="b">
        <f t="shared" si="6"/>
        <v>1</v>
      </c>
    </row>
    <row r="191" spans="1:3" x14ac:dyDescent="0.35">
      <c r="A191" s="1">
        <v>45996</v>
      </c>
      <c r="B191" s="1">
        <v>45996</v>
      </c>
      <c r="C191" t="b">
        <f t="shared" si="6"/>
        <v>1</v>
      </c>
    </row>
    <row r="192" spans="1:3" x14ac:dyDescent="0.35">
      <c r="A192" s="1">
        <v>45996</v>
      </c>
      <c r="B192" s="1">
        <v>45996</v>
      </c>
      <c r="C192" t="b">
        <f t="shared" si="6"/>
        <v>1</v>
      </c>
    </row>
    <row r="193" spans="1:3" x14ac:dyDescent="0.35">
      <c r="A193" s="1">
        <v>45996</v>
      </c>
      <c r="B193" s="1">
        <v>45996</v>
      </c>
      <c r="C193" t="b">
        <f t="shared" si="6"/>
        <v>1</v>
      </c>
    </row>
    <row r="194" spans="1:3" x14ac:dyDescent="0.35">
      <c r="A194" s="1" t="s">
        <v>89</v>
      </c>
      <c r="B194" s="1">
        <f t="shared" ref="B194:B257" si="7">DATE(IF(LEN(A194)-LEN(SUBSTITUTE(A194,"/",""))=2,IF(LEN(RIGHT(A194,2))=2,2000+RIGHT(A194,2),RIGHT(A194,4)),RIGHT(A194,4)),MID(SUBSTITUTE(A194,"-","/"),FIND("/",SUBSTITUTE(A194,"-","/"))+1,FIND("/",SUBSTITUTE(A194,"-","/"),FIND("/",SUBSTITUTE(A194,"-","/"))+1)-FIND("/",SUBSTITUTE(A194,"-","/"))-1),LEFT(SUBSTITUTE(A194,"-","/"),FIND("/",SUBSTITUTE(A194,"-","/"))-1))</f>
        <v>45945</v>
      </c>
      <c r="C194" t="b">
        <f t="shared" si="6"/>
        <v>1</v>
      </c>
    </row>
    <row r="195" spans="1:3" x14ac:dyDescent="0.35">
      <c r="A195" s="1" t="s">
        <v>89</v>
      </c>
      <c r="B195" s="1">
        <f t="shared" si="7"/>
        <v>45945</v>
      </c>
      <c r="C195" t="b">
        <f t="shared" si="6"/>
        <v>1</v>
      </c>
    </row>
    <row r="196" spans="1:3" x14ac:dyDescent="0.35">
      <c r="A196" s="1" t="s">
        <v>96</v>
      </c>
      <c r="B196" s="1">
        <f t="shared" si="7"/>
        <v>45944</v>
      </c>
      <c r="C196" t="b">
        <f t="shared" si="6"/>
        <v>1</v>
      </c>
    </row>
    <row r="197" spans="1:3" x14ac:dyDescent="0.35">
      <c r="A197" s="1" t="s">
        <v>96</v>
      </c>
      <c r="B197" s="1">
        <f t="shared" si="7"/>
        <v>45944</v>
      </c>
      <c r="C197" t="b">
        <f t="shared" si="6"/>
        <v>1</v>
      </c>
    </row>
    <row r="198" spans="1:3" x14ac:dyDescent="0.35">
      <c r="A198" s="1" t="s">
        <v>89</v>
      </c>
      <c r="B198" s="1">
        <f t="shared" si="7"/>
        <v>45945</v>
      </c>
      <c r="C198" t="b">
        <f t="shared" si="6"/>
        <v>1</v>
      </c>
    </row>
    <row r="199" spans="1:3" x14ac:dyDescent="0.35">
      <c r="A199" s="1" t="s">
        <v>89</v>
      </c>
      <c r="B199" s="1">
        <f t="shared" si="7"/>
        <v>45945</v>
      </c>
      <c r="C199" t="b">
        <f t="shared" si="6"/>
        <v>1</v>
      </c>
    </row>
    <row r="200" spans="1:3" x14ac:dyDescent="0.35">
      <c r="A200" s="1" t="s">
        <v>89</v>
      </c>
      <c r="B200" s="1">
        <f t="shared" si="7"/>
        <v>45945</v>
      </c>
      <c r="C200" t="b">
        <f t="shared" si="6"/>
        <v>1</v>
      </c>
    </row>
    <row r="201" spans="1:3" x14ac:dyDescent="0.35">
      <c r="A201" s="1" t="s">
        <v>89</v>
      </c>
      <c r="B201" s="1">
        <f t="shared" si="7"/>
        <v>45945</v>
      </c>
      <c r="C201" t="b">
        <f t="shared" si="6"/>
        <v>1</v>
      </c>
    </row>
    <row r="202" spans="1:3" x14ac:dyDescent="0.35">
      <c r="A202" s="1" t="s">
        <v>96</v>
      </c>
      <c r="B202" s="1">
        <f t="shared" si="7"/>
        <v>45944</v>
      </c>
      <c r="C202" t="b">
        <f t="shared" si="6"/>
        <v>1</v>
      </c>
    </row>
    <row r="203" spans="1:3" x14ac:dyDescent="0.35">
      <c r="A203" s="1" t="s">
        <v>112</v>
      </c>
      <c r="B203" s="1">
        <f t="shared" si="7"/>
        <v>45958</v>
      </c>
      <c r="C203" t="b">
        <f t="shared" si="6"/>
        <v>1</v>
      </c>
    </row>
    <row r="204" spans="1:3" x14ac:dyDescent="0.35">
      <c r="A204" s="1" t="s">
        <v>112</v>
      </c>
      <c r="B204" s="1">
        <f t="shared" si="7"/>
        <v>45958</v>
      </c>
      <c r="C204" t="b">
        <f t="shared" si="6"/>
        <v>1</v>
      </c>
    </row>
    <row r="205" spans="1:3" x14ac:dyDescent="0.35">
      <c r="A205" s="1" t="s">
        <v>52</v>
      </c>
      <c r="B205" s="1">
        <f t="shared" si="7"/>
        <v>45791</v>
      </c>
      <c r="C205" t="b">
        <f t="shared" si="6"/>
        <v>1</v>
      </c>
    </row>
    <row r="206" spans="1:3" x14ac:dyDescent="0.35">
      <c r="A206" s="1" t="s">
        <v>52</v>
      </c>
      <c r="B206" s="1">
        <f t="shared" si="7"/>
        <v>45791</v>
      </c>
      <c r="C206" t="b">
        <f t="shared" si="6"/>
        <v>1</v>
      </c>
    </row>
    <row r="207" spans="1:3" x14ac:dyDescent="0.35">
      <c r="A207" s="1" t="s">
        <v>52</v>
      </c>
      <c r="B207" s="1">
        <f t="shared" si="7"/>
        <v>45791</v>
      </c>
      <c r="C207" t="b">
        <f t="shared" si="6"/>
        <v>1</v>
      </c>
    </row>
    <row r="208" spans="1:3" x14ac:dyDescent="0.35">
      <c r="A208" s="1" t="s">
        <v>76</v>
      </c>
      <c r="B208" s="1">
        <f t="shared" si="7"/>
        <v>45799</v>
      </c>
      <c r="C208" t="b">
        <f t="shared" si="6"/>
        <v>1</v>
      </c>
    </row>
    <row r="209" spans="1:3" x14ac:dyDescent="0.35">
      <c r="A209" s="1" t="s">
        <v>76</v>
      </c>
      <c r="B209" s="1">
        <f t="shared" si="7"/>
        <v>45799</v>
      </c>
      <c r="C209" t="b">
        <f t="shared" si="6"/>
        <v>1</v>
      </c>
    </row>
    <row r="210" spans="1:3" x14ac:dyDescent="0.35">
      <c r="A210" s="1" t="s">
        <v>6</v>
      </c>
      <c r="B210" s="1">
        <f t="shared" si="7"/>
        <v>45803</v>
      </c>
      <c r="C210" t="b">
        <f t="shared" si="6"/>
        <v>1</v>
      </c>
    </row>
    <row r="211" spans="1:3" x14ac:dyDescent="0.35">
      <c r="A211" s="1" t="s">
        <v>6</v>
      </c>
      <c r="B211" s="1">
        <f t="shared" si="7"/>
        <v>45803</v>
      </c>
      <c r="C211" t="b">
        <f t="shared" si="6"/>
        <v>1</v>
      </c>
    </row>
    <row r="212" spans="1:3" x14ac:dyDescent="0.35">
      <c r="A212" s="1" t="s">
        <v>6</v>
      </c>
      <c r="B212" s="1">
        <f t="shared" si="7"/>
        <v>45803</v>
      </c>
      <c r="C212" t="b">
        <f t="shared" si="6"/>
        <v>1</v>
      </c>
    </row>
    <row r="213" spans="1:3" x14ac:dyDescent="0.35">
      <c r="A213" s="1" t="s">
        <v>6</v>
      </c>
      <c r="B213" s="1">
        <f t="shared" si="7"/>
        <v>45803</v>
      </c>
      <c r="C213" t="b">
        <f t="shared" si="6"/>
        <v>1</v>
      </c>
    </row>
    <row r="214" spans="1:3" x14ac:dyDescent="0.35">
      <c r="A214" s="1" t="s">
        <v>6</v>
      </c>
      <c r="B214" s="1">
        <f t="shared" si="7"/>
        <v>45803</v>
      </c>
      <c r="C214" t="b">
        <f t="shared" si="6"/>
        <v>1</v>
      </c>
    </row>
    <row r="215" spans="1:3" x14ac:dyDescent="0.35">
      <c r="A215" s="1" t="s">
        <v>56</v>
      </c>
      <c r="B215" s="1">
        <f t="shared" si="7"/>
        <v>45791</v>
      </c>
      <c r="C215" t="b">
        <f t="shared" si="6"/>
        <v>1</v>
      </c>
    </row>
    <row r="216" spans="1:3" x14ac:dyDescent="0.35">
      <c r="A216" s="1" t="s">
        <v>56</v>
      </c>
      <c r="B216" s="1">
        <f t="shared" si="7"/>
        <v>45791</v>
      </c>
      <c r="C216" t="b">
        <f t="shared" si="6"/>
        <v>1</v>
      </c>
    </row>
    <row r="217" spans="1:3" x14ac:dyDescent="0.35">
      <c r="A217" s="1" t="s">
        <v>46</v>
      </c>
      <c r="B217" s="1">
        <f t="shared" si="7"/>
        <v>45799</v>
      </c>
      <c r="C217" t="b">
        <f t="shared" si="6"/>
        <v>1</v>
      </c>
    </row>
    <row r="218" spans="1:3" x14ac:dyDescent="0.35">
      <c r="A218" s="1" t="s">
        <v>56</v>
      </c>
      <c r="B218" s="1">
        <f t="shared" si="7"/>
        <v>45791</v>
      </c>
      <c r="C218" t="b">
        <f t="shared" si="6"/>
        <v>1</v>
      </c>
    </row>
    <row r="219" spans="1:3" x14ac:dyDescent="0.35">
      <c r="A219" s="1" t="s">
        <v>56</v>
      </c>
      <c r="B219" s="1">
        <f t="shared" si="7"/>
        <v>45791</v>
      </c>
      <c r="C219" t="b">
        <f t="shared" si="6"/>
        <v>1</v>
      </c>
    </row>
    <row r="220" spans="1:3" x14ac:dyDescent="0.35">
      <c r="A220" s="1" t="s">
        <v>46</v>
      </c>
      <c r="B220" s="1">
        <f t="shared" si="7"/>
        <v>45799</v>
      </c>
      <c r="C220" t="b">
        <f t="shared" si="6"/>
        <v>1</v>
      </c>
    </row>
    <row r="221" spans="1:3" x14ac:dyDescent="0.35">
      <c r="A221" s="1" t="s">
        <v>15</v>
      </c>
      <c r="B221" s="1">
        <f t="shared" si="7"/>
        <v>45792</v>
      </c>
      <c r="C221" t="b">
        <f t="shared" si="6"/>
        <v>1</v>
      </c>
    </row>
    <row r="222" spans="1:3" x14ac:dyDescent="0.35">
      <c r="A222" s="1" t="s">
        <v>52</v>
      </c>
      <c r="B222" s="1">
        <f t="shared" si="7"/>
        <v>45791</v>
      </c>
      <c r="C222" t="b">
        <f t="shared" si="6"/>
        <v>1</v>
      </c>
    </row>
    <row r="223" spans="1:3" x14ac:dyDescent="0.35">
      <c r="A223" s="1" t="s">
        <v>52</v>
      </c>
      <c r="B223" s="1">
        <f t="shared" si="7"/>
        <v>45791</v>
      </c>
      <c r="C223" t="b">
        <f t="shared" si="6"/>
        <v>1</v>
      </c>
    </row>
    <row r="224" spans="1:3" x14ac:dyDescent="0.35">
      <c r="A224" s="1" t="s">
        <v>52</v>
      </c>
      <c r="B224" s="1">
        <f t="shared" si="7"/>
        <v>45791</v>
      </c>
      <c r="C224" t="b">
        <f t="shared" si="6"/>
        <v>1</v>
      </c>
    </row>
    <row r="225" spans="1:3" x14ac:dyDescent="0.35">
      <c r="A225" s="1" t="s">
        <v>76</v>
      </c>
      <c r="B225" s="1">
        <f t="shared" si="7"/>
        <v>45799</v>
      </c>
      <c r="C225" t="b">
        <f t="shared" si="6"/>
        <v>1</v>
      </c>
    </row>
    <row r="226" spans="1:3" x14ac:dyDescent="0.35">
      <c r="A226" s="1" t="s">
        <v>76</v>
      </c>
      <c r="B226" s="1">
        <f t="shared" si="7"/>
        <v>45799</v>
      </c>
      <c r="C226" t="b">
        <f t="shared" si="6"/>
        <v>1</v>
      </c>
    </row>
    <row r="227" spans="1:3" x14ac:dyDescent="0.35">
      <c r="A227" s="1" t="s">
        <v>6</v>
      </c>
      <c r="B227" s="1">
        <f t="shared" si="7"/>
        <v>45803</v>
      </c>
      <c r="C227" t="b">
        <f t="shared" si="6"/>
        <v>1</v>
      </c>
    </row>
    <row r="228" spans="1:3" x14ac:dyDescent="0.35">
      <c r="A228" s="1" t="s">
        <v>6</v>
      </c>
      <c r="B228" s="1">
        <f t="shared" si="7"/>
        <v>45803</v>
      </c>
      <c r="C228" t="b">
        <f t="shared" si="6"/>
        <v>1</v>
      </c>
    </row>
    <row r="229" spans="1:3" x14ac:dyDescent="0.35">
      <c r="A229" s="1" t="s">
        <v>6</v>
      </c>
      <c r="B229" s="1">
        <f t="shared" si="7"/>
        <v>45803</v>
      </c>
      <c r="C229" t="b">
        <f t="shared" si="6"/>
        <v>1</v>
      </c>
    </row>
    <row r="230" spans="1:3" x14ac:dyDescent="0.35">
      <c r="A230" s="1" t="s">
        <v>6</v>
      </c>
      <c r="B230" s="1">
        <f t="shared" si="7"/>
        <v>45803</v>
      </c>
      <c r="C230" t="b">
        <f t="shared" si="6"/>
        <v>1</v>
      </c>
    </row>
    <row r="231" spans="1:3" x14ac:dyDescent="0.35">
      <c r="A231" s="1" t="s">
        <v>6</v>
      </c>
      <c r="B231" s="1">
        <f t="shared" si="7"/>
        <v>45803</v>
      </c>
      <c r="C231" t="b">
        <f t="shared" si="6"/>
        <v>1</v>
      </c>
    </row>
    <row r="232" spans="1:3" x14ac:dyDescent="0.35">
      <c r="A232" s="1" t="s">
        <v>56</v>
      </c>
      <c r="B232" s="1">
        <f t="shared" si="7"/>
        <v>45791</v>
      </c>
      <c r="C232" t="b">
        <f t="shared" ref="C232:C295" si="8">ISNUMBER(B232)</f>
        <v>1</v>
      </c>
    </row>
    <row r="233" spans="1:3" x14ac:dyDescent="0.35">
      <c r="A233" s="1" t="s">
        <v>56</v>
      </c>
      <c r="B233" s="1">
        <f t="shared" si="7"/>
        <v>45791</v>
      </c>
      <c r="C233" t="b">
        <f t="shared" si="8"/>
        <v>1</v>
      </c>
    </row>
    <row r="234" spans="1:3" x14ac:dyDescent="0.35">
      <c r="A234" s="1" t="s">
        <v>46</v>
      </c>
      <c r="B234" s="1">
        <f t="shared" si="7"/>
        <v>45799</v>
      </c>
      <c r="C234" t="b">
        <f t="shared" si="8"/>
        <v>1</v>
      </c>
    </row>
    <row r="235" spans="1:3" x14ac:dyDescent="0.35">
      <c r="A235" s="1" t="s">
        <v>56</v>
      </c>
      <c r="B235" s="1">
        <f t="shared" si="7"/>
        <v>45791</v>
      </c>
      <c r="C235" t="b">
        <f t="shared" si="8"/>
        <v>1</v>
      </c>
    </row>
    <row r="236" spans="1:3" x14ac:dyDescent="0.35">
      <c r="A236" s="1" t="s">
        <v>56</v>
      </c>
      <c r="B236" s="1">
        <f t="shared" si="7"/>
        <v>45791</v>
      </c>
      <c r="C236" t="b">
        <f t="shared" si="8"/>
        <v>1</v>
      </c>
    </row>
    <row r="237" spans="1:3" x14ac:dyDescent="0.35">
      <c r="A237" s="1" t="s">
        <v>46</v>
      </c>
      <c r="B237" s="1">
        <f t="shared" si="7"/>
        <v>45799</v>
      </c>
      <c r="C237" t="b">
        <f t="shared" si="8"/>
        <v>1</v>
      </c>
    </row>
    <row r="238" spans="1:3" x14ac:dyDescent="0.35">
      <c r="A238" s="1" t="s">
        <v>15</v>
      </c>
      <c r="B238" s="1">
        <f t="shared" si="7"/>
        <v>45792</v>
      </c>
      <c r="C238" t="b">
        <f t="shared" si="8"/>
        <v>1</v>
      </c>
    </row>
    <row r="239" spans="1:3" x14ac:dyDescent="0.35">
      <c r="A239" s="1" t="s">
        <v>89</v>
      </c>
      <c r="B239" s="1">
        <f t="shared" si="7"/>
        <v>45945</v>
      </c>
      <c r="C239" t="b">
        <f t="shared" si="8"/>
        <v>1</v>
      </c>
    </row>
    <row r="240" spans="1:3" x14ac:dyDescent="0.35">
      <c r="A240" s="1" t="s">
        <v>89</v>
      </c>
      <c r="B240" s="1">
        <f t="shared" si="7"/>
        <v>45945</v>
      </c>
      <c r="C240" t="b">
        <f t="shared" si="8"/>
        <v>1</v>
      </c>
    </row>
    <row r="241" spans="1:3" x14ac:dyDescent="0.35">
      <c r="A241" s="1" t="s">
        <v>89</v>
      </c>
      <c r="B241" s="1">
        <f t="shared" si="7"/>
        <v>45945</v>
      </c>
      <c r="C241" t="b">
        <f t="shared" si="8"/>
        <v>1</v>
      </c>
    </row>
    <row r="242" spans="1:3" x14ac:dyDescent="0.35">
      <c r="A242" s="1" t="s">
        <v>89</v>
      </c>
      <c r="B242" s="1">
        <f t="shared" si="7"/>
        <v>45945</v>
      </c>
      <c r="C242" t="b">
        <f t="shared" si="8"/>
        <v>1</v>
      </c>
    </row>
    <row r="243" spans="1:3" x14ac:dyDescent="0.35">
      <c r="A243" s="1" t="s">
        <v>89</v>
      </c>
      <c r="B243" s="1">
        <f t="shared" si="7"/>
        <v>45945</v>
      </c>
      <c r="C243" t="b">
        <f t="shared" si="8"/>
        <v>1</v>
      </c>
    </row>
    <row r="244" spans="1:3" x14ac:dyDescent="0.35">
      <c r="A244" s="1" t="s">
        <v>89</v>
      </c>
      <c r="B244" s="1">
        <f t="shared" si="7"/>
        <v>45945</v>
      </c>
      <c r="C244" t="b">
        <f t="shared" si="8"/>
        <v>1</v>
      </c>
    </row>
    <row r="245" spans="1:3" x14ac:dyDescent="0.35">
      <c r="A245" s="1" t="s">
        <v>96</v>
      </c>
      <c r="B245" s="1">
        <f t="shared" si="7"/>
        <v>45944</v>
      </c>
      <c r="C245" t="b">
        <f t="shared" si="8"/>
        <v>1</v>
      </c>
    </row>
    <row r="246" spans="1:3" x14ac:dyDescent="0.35">
      <c r="A246" s="1" t="s">
        <v>96</v>
      </c>
      <c r="B246" s="1">
        <f t="shared" si="7"/>
        <v>45944</v>
      </c>
      <c r="C246" t="b">
        <f t="shared" si="8"/>
        <v>1</v>
      </c>
    </row>
    <row r="247" spans="1:3" x14ac:dyDescent="0.35">
      <c r="A247" s="1" t="s">
        <v>96</v>
      </c>
      <c r="B247" s="1">
        <f t="shared" si="7"/>
        <v>45944</v>
      </c>
      <c r="C247" t="b">
        <f t="shared" si="8"/>
        <v>1</v>
      </c>
    </row>
    <row r="248" spans="1:3" x14ac:dyDescent="0.35">
      <c r="A248" s="1" t="s">
        <v>96</v>
      </c>
      <c r="B248" s="1">
        <f t="shared" si="7"/>
        <v>45944</v>
      </c>
      <c r="C248" t="b">
        <f t="shared" si="8"/>
        <v>1</v>
      </c>
    </row>
    <row r="249" spans="1:3" x14ac:dyDescent="0.35">
      <c r="A249" s="1" t="s">
        <v>96</v>
      </c>
      <c r="B249" s="1">
        <f t="shared" si="7"/>
        <v>45944</v>
      </c>
      <c r="C249" t="b">
        <f t="shared" si="8"/>
        <v>1</v>
      </c>
    </row>
    <row r="250" spans="1:3" x14ac:dyDescent="0.35">
      <c r="A250" s="1" t="s">
        <v>96</v>
      </c>
      <c r="B250" s="1">
        <f t="shared" si="7"/>
        <v>45944</v>
      </c>
      <c r="C250" t="b">
        <f t="shared" si="8"/>
        <v>1</v>
      </c>
    </row>
    <row r="251" spans="1:3" x14ac:dyDescent="0.35">
      <c r="A251" s="1" t="s">
        <v>96</v>
      </c>
      <c r="B251" s="1">
        <f t="shared" si="7"/>
        <v>45944</v>
      </c>
      <c r="C251" t="b">
        <f t="shared" si="8"/>
        <v>1</v>
      </c>
    </row>
    <row r="252" spans="1:3" x14ac:dyDescent="0.35">
      <c r="A252" s="1" t="s">
        <v>96</v>
      </c>
      <c r="B252" s="1">
        <f t="shared" si="7"/>
        <v>45944</v>
      </c>
      <c r="C252" t="b">
        <f t="shared" si="8"/>
        <v>1</v>
      </c>
    </row>
    <row r="253" spans="1:3" x14ac:dyDescent="0.35">
      <c r="A253" s="1" t="s">
        <v>96</v>
      </c>
      <c r="B253" s="1">
        <f t="shared" si="7"/>
        <v>45944</v>
      </c>
      <c r="C253" t="b">
        <f t="shared" si="8"/>
        <v>1</v>
      </c>
    </row>
    <row r="254" spans="1:3" x14ac:dyDescent="0.35">
      <c r="A254" s="1" t="s">
        <v>96</v>
      </c>
      <c r="B254" s="1">
        <f t="shared" si="7"/>
        <v>45944</v>
      </c>
      <c r="C254" t="b">
        <f t="shared" si="8"/>
        <v>1</v>
      </c>
    </row>
    <row r="255" spans="1:3" x14ac:dyDescent="0.35">
      <c r="A255" s="1" t="s">
        <v>96</v>
      </c>
      <c r="B255" s="1">
        <f t="shared" si="7"/>
        <v>45944</v>
      </c>
      <c r="C255" t="b">
        <f t="shared" si="8"/>
        <v>1</v>
      </c>
    </row>
    <row r="256" spans="1:3" x14ac:dyDescent="0.35">
      <c r="A256" s="1" t="s">
        <v>96</v>
      </c>
      <c r="B256" s="1">
        <f t="shared" si="7"/>
        <v>45944</v>
      </c>
      <c r="C256" t="b">
        <f t="shared" si="8"/>
        <v>1</v>
      </c>
    </row>
    <row r="257" spans="1:3" x14ac:dyDescent="0.35">
      <c r="A257" s="1" t="s">
        <v>96</v>
      </c>
      <c r="B257" s="1">
        <f t="shared" si="7"/>
        <v>45944</v>
      </c>
      <c r="C257" t="b">
        <f t="shared" si="8"/>
        <v>1</v>
      </c>
    </row>
    <row r="258" spans="1:3" x14ac:dyDescent="0.35">
      <c r="A258" s="1" t="s">
        <v>96</v>
      </c>
      <c r="B258" s="1">
        <f t="shared" ref="B258:B320" si="9">DATE(IF(LEN(A258)-LEN(SUBSTITUTE(A258,"/",""))=2,IF(LEN(RIGHT(A258,2))=2,2000+RIGHT(A258,2),RIGHT(A258,4)),RIGHT(A258,4)),MID(SUBSTITUTE(A258,"-","/"),FIND("/",SUBSTITUTE(A258,"-","/"))+1,FIND("/",SUBSTITUTE(A258,"-","/"),FIND("/",SUBSTITUTE(A258,"-","/"))+1)-FIND("/",SUBSTITUTE(A258,"-","/"))-1),LEFT(SUBSTITUTE(A258,"-","/"),FIND("/",SUBSTITUTE(A258,"-","/"))-1))</f>
        <v>45944</v>
      </c>
      <c r="C258" t="b">
        <f t="shared" si="8"/>
        <v>1</v>
      </c>
    </row>
    <row r="259" spans="1:3" x14ac:dyDescent="0.35">
      <c r="A259" s="1" t="s">
        <v>96</v>
      </c>
      <c r="B259" s="1">
        <f t="shared" si="9"/>
        <v>45944</v>
      </c>
      <c r="C259" t="b">
        <f t="shared" si="8"/>
        <v>1</v>
      </c>
    </row>
    <row r="260" spans="1:3" x14ac:dyDescent="0.35">
      <c r="A260" s="1" t="s">
        <v>96</v>
      </c>
      <c r="B260" s="1">
        <f t="shared" si="9"/>
        <v>45944</v>
      </c>
      <c r="C260" t="b">
        <f t="shared" si="8"/>
        <v>1</v>
      </c>
    </row>
    <row r="261" spans="1:3" x14ac:dyDescent="0.35">
      <c r="A261" s="1" t="s">
        <v>96</v>
      </c>
      <c r="B261" s="1">
        <f t="shared" si="9"/>
        <v>45944</v>
      </c>
      <c r="C261" t="b">
        <f t="shared" si="8"/>
        <v>1</v>
      </c>
    </row>
    <row r="262" spans="1:3" x14ac:dyDescent="0.35">
      <c r="A262" s="1" t="s">
        <v>96</v>
      </c>
      <c r="B262" s="1">
        <f t="shared" si="9"/>
        <v>45944</v>
      </c>
      <c r="C262" t="b">
        <f t="shared" si="8"/>
        <v>1</v>
      </c>
    </row>
    <row r="263" spans="1:3" x14ac:dyDescent="0.35">
      <c r="A263" s="1" t="s">
        <v>103</v>
      </c>
      <c r="B263" s="1">
        <f t="shared" si="9"/>
        <v>45946</v>
      </c>
      <c r="C263" t="b">
        <f t="shared" si="8"/>
        <v>1</v>
      </c>
    </row>
    <row r="264" spans="1:3" x14ac:dyDescent="0.35">
      <c r="A264" s="1" t="s">
        <v>96</v>
      </c>
      <c r="B264" s="1">
        <f t="shared" si="9"/>
        <v>45944</v>
      </c>
      <c r="C264" t="b">
        <f t="shared" si="8"/>
        <v>1</v>
      </c>
    </row>
    <row r="265" spans="1:3" x14ac:dyDescent="0.35">
      <c r="A265" s="1" t="s">
        <v>96</v>
      </c>
      <c r="B265" s="1">
        <f t="shared" si="9"/>
        <v>45944</v>
      </c>
      <c r="C265" t="b">
        <f t="shared" si="8"/>
        <v>1</v>
      </c>
    </row>
    <row r="266" spans="1:3" x14ac:dyDescent="0.35">
      <c r="A266" s="1" t="s">
        <v>96</v>
      </c>
      <c r="B266" s="1">
        <f t="shared" si="9"/>
        <v>45944</v>
      </c>
      <c r="C266" t="b">
        <f t="shared" si="8"/>
        <v>1</v>
      </c>
    </row>
    <row r="267" spans="1:3" x14ac:dyDescent="0.35">
      <c r="A267" s="1" t="s">
        <v>96</v>
      </c>
      <c r="B267" s="1">
        <f t="shared" si="9"/>
        <v>45944</v>
      </c>
      <c r="C267" t="b">
        <f t="shared" si="8"/>
        <v>1</v>
      </c>
    </row>
    <row r="268" spans="1:3" x14ac:dyDescent="0.35">
      <c r="A268" s="1" t="s">
        <v>96</v>
      </c>
      <c r="B268" s="1">
        <f t="shared" si="9"/>
        <v>45944</v>
      </c>
      <c r="C268" t="b">
        <f t="shared" si="8"/>
        <v>1</v>
      </c>
    </row>
    <row r="269" spans="1:3" x14ac:dyDescent="0.35">
      <c r="A269" s="1" t="s">
        <v>103</v>
      </c>
      <c r="B269" s="1">
        <f t="shared" si="9"/>
        <v>45946</v>
      </c>
      <c r="C269" t="b">
        <f t="shared" si="8"/>
        <v>1</v>
      </c>
    </row>
    <row r="270" spans="1:3" x14ac:dyDescent="0.35">
      <c r="A270" s="1" t="s">
        <v>96</v>
      </c>
      <c r="B270" s="1">
        <f t="shared" si="9"/>
        <v>45944</v>
      </c>
      <c r="C270" t="b">
        <f t="shared" si="8"/>
        <v>1</v>
      </c>
    </row>
    <row r="271" spans="1:3" x14ac:dyDescent="0.35">
      <c r="A271" s="1" t="s">
        <v>103</v>
      </c>
      <c r="B271" s="1">
        <f t="shared" si="9"/>
        <v>45946</v>
      </c>
      <c r="C271" t="b">
        <f t="shared" si="8"/>
        <v>1</v>
      </c>
    </row>
    <row r="272" spans="1:3" x14ac:dyDescent="0.35">
      <c r="A272" s="1" t="s">
        <v>103</v>
      </c>
      <c r="B272" s="1">
        <f t="shared" si="9"/>
        <v>45946</v>
      </c>
      <c r="C272" t="b">
        <f t="shared" si="8"/>
        <v>1</v>
      </c>
    </row>
    <row r="273" spans="1:3" x14ac:dyDescent="0.35">
      <c r="A273" s="1" t="s">
        <v>103</v>
      </c>
      <c r="B273" s="1">
        <f t="shared" si="9"/>
        <v>45946</v>
      </c>
      <c r="C273" t="b">
        <f t="shared" si="8"/>
        <v>1</v>
      </c>
    </row>
    <row r="274" spans="1:3" x14ac:dyDescent="0.35">
      <c r="A274" s="1" t="s">
        <v>103</v>
      </c>
      <c r="B274" s="1">
        <f t="shared" si="9"/>
        <v>45946</v>
      </c>
      <c r="C274" t="b">
        <f t="shared" si="8"/>
        <v>1</v>
      </c>
    </row>
    <row r="275" spans="1:3" x14ac:dyDescent="0.35">
      <c r="A275" s="1" t="s">
        <v>103</v>
      </c>
      <c r="B275" s="1">
        <f t="shared" si="9"/>
        <v>45946</v>
      </c>
      <c r="C275" t="b">
        <f t="shared" si="8"/>
        <v>1</v>
      </c>
    </row>
    <row r="276" spans="1:3" x14ac:dyDescent="0.35">
      <c r="A276" s="1" t="s">
        <v>103</v>
      </c>
      <c r="B276" s="1">
        <f t="shared" si="9"/>
        <v>45946</v>
      </c>
      <c r="C276" t="b">
        <f t="shared" si="8"/>
        <v>1</v>
      </c>
    </row>
    <row r="277" spans="1:3" x14ac:dyDescent="0.35">
      <c r="A277" s="1" t="s">
        <v>120</v>
      </c>
      <c r="B277" s="1">
        <f t="shared" si="9"/>
        <v>45951</v>
      </c>
      <c r="C277" t="b">
        <f t="shared" si="8"/>
        <v>1</v>
      </c>
    </row>
    <row r="278" spans="1:3" x14ac:dyDescent="0.35">
      <c r="A278" s="1" t="s">
        <v>120</v>
      </c>
      <c r="B278" s="1">
        <f t="shared" si="9"/>
        <v>45951</v>
      </c>
      <c r="C278" t="b">
        <f t="shared" si="8"/>
        <v>1</v>
      </c>
    </row>
    <row r="279" spans="1:3" x14ac:dyDescent="0.35">
      <c r="A279" s="1" t="s">
        <v>96</v>
      </c>
      <c r="B279" s="1">
        <f t="shared" si="9"/>
        <v>45944</v>
      </c>
      <c r="C279" t="b">
        <f t="shared" si="8"/>
        <v>1</v>
      </c>
    </row>
    <row r="280" spans="1:3" x14ac:dyDescent="0.35">
      <c r="A280" s="1" t="s">
        <v>96</v>
      </c>
      <c r="B280" s="1">
        <f t="shared" si="9"/>
        <v>45944</v>
      </c>
      <c r="C280" t="b">
        <f t="shared" si="8"/>
        <v>1</v>
      </c>
    </row>
    <row r="281" spans="1:3" x14ac:dyDescent="0.35">
      <c r="A281" s="1" t="s">
        <v>6</v>
      </c>
      <c r="B281" s="1">
        <f t="shared" si="9"/>
        <v>45803</v>
      </c>
      <c r="C281" t="b">
        <f t="shared" si="8"/>
        <v>1</v>
      </c>
    </row>
    <row r="282" spans="1:3" x14ac:dyDescent="0.35">
      <c r="A282" s="1" t="s">
        <v>46</v>
      </c>
      <c r="B282" s="1">
        <f t="shared" si="9"/>
        <v>45799</v>
      </c>
      <c r="C282" t="b">
        <f t="shared" si="8"/>
        <v>1</v>
      </c>
    </row>
    <row r="283" spans="1:3" x14ac:dyDescent="0.35">
      <c r="A283" s="1" t="s">
        <v>6</v>
      </c>
      <c r="B283" s="1">
        <f t="shared" si="9"/>
        <v>45803</v>
      </c>
      <c r="C283" t="b">
        <f t="shared" si="8"/>
        <v>1</v>
      </c>
    </row>
    <row r="284" spans="1:3" x14ac:dyDescent="0.35">
      <c r="A284" s="1" t="s">
        <v>46</v>
      </c>
      <c r="B284" s="1">
        <f t="shared" si="9"/>
        <v>45799</v>
      </c>
      <c r="C284" t="b">
        <f t="shared" si="8"/>
        <v>1</v>
      </c>
    </row>
    <row r="285" spans="1:3" x14ac:dyDescent="0.35">
      <c r="A285" s="1" t="s">
        <v>96</v>
      </c>
      <c r="B285" s="1">
        <f t="shared" si="9"/>
        <v>45944</v>
      </c>
      <c r="C285" t="b">
        <f t="shared" si="8"/>
        <v>1</v>
      </c>
    </row>
    <row r="286" spans="1:3" x14ac:dyDescent="0.35">
      <c r="A286" s="1" t="s">
        <v>89</v>
      </c>
      <c r="B286" s="1">
        <f t="shared" si="9"/>
        <v>45945</v>
      </c>
      <c r="C286" t="b">
        <f t="shared" si="8"/>
        <v>1</v>
      </c>
    </row>
    <row r="287" spans="1:3" x14ac:dyDescent="0.35">
      <c r="A287" s="1" t="s">
        <v>89</v>
      </c>
      <c r="B287" s="1">
        <f t="shared" si="9"/>
        <v>45945</v>
      </c>
      <c r="C287" t="b">
        <f t="shared" si="8"/>
        <v>1</v>
      </c>
    </row>
    <row r="288" spans="1:3" x14ac:dyDescent="0.35">
      <c r="A288" s="1" t="s">
        <v>89</v>
      </c>
      <c r="B288" s="1">
        <f t="shared" si="9"/>
        <v>45945</v>
      </c>
      <c r="C288" t="b">
        <f t="shared" si="8"/>
        <v>1</v>
      </c>
    </row>
    <row r="289" spans="1:3" x14ac:dyDescent="0.35">
      <c r="A289" s="1" t="s">
        <v>89</v>
      </c>
      <c r="B289" s="1">
        <f t="shared" si="9"/>
        <v>45945</v>
      </c>
      <c r="C289" t="b">
        <f t="shared" si="8"/>
        <v>1</v>
      </c>
    </row>
    <row r="290" spans="1:3" x14ac:dyDescent="0.35">
      <c r="A290" s="1" t="s">
        <v>89</v>
      </c>
      <c r="B290" s="1">
        <f t="shared" si="9"/>
        <v>45945</v>
      </c>
      <c r="C290" t="b">
        <f t="shared" si="8"/>
        <v>1</v>
      </c>
    </row>
    <row r="291" spans="1:3" x14ac:dyDescent="0.35">
      <c r="A291" s="1" t="s">
        <v>89</v>
      </c>
      <c r="B291" s="1">
        <f t="shared" si="9"/>
        <v>45945</v>
      </c>
      <c r="C291" t="b">
        <f t="shared" si="8"/>
        <v>1</v>
      </c>
    </row>
    <row r="292" spans="1:3" x14ac:dyDescent="0.35">
      <c r="A292" s="1" t="s">
        <v>89</v>
      </c>
      <c r="B292" s="1">
        <f t="shared" si="9"/>
        <v>45945</v>
      </c>
      <c r="C292" t="b">
        <f t="shared" si="8"/>
        <v>1</v>
      </c>
    </row>
    <row r="293" spans="1:3" x14ac:dyDescent="0.35">
      <c r="A293" s="1" t="s">
        <v>89</v>
      </c>
      <c r="B293" s="1">
        <f t="shared" si="9"/>
        <v>45945</v>
      </c>
      <c r="C293" t="b">
        <f t="shared" si="8"/>
        <v>1</v>
      </c>
    </row>
    <row r="294" spans="1:3" x14ac:dyDescent="0.35">
      <c r="A294" s="1" t="s">
        <v>89</v>
      </c>
      <c r="B294" s="1">
        <f t="shared" si="9"/>
        <v>45945</v>
      </c>
      <c r="C294" t="b">
        <f t="shared" si="8"/>
        <v>1</v>
      </c>
    </row>
    <row r="295" spans="1:3" x14ac:dyDescent="0.35">
      <c r="A295" s="1" t="s">
        <v>89</v>
      </c>
      <c r="B295" s="1">
        <f t="shared" si="9"/>
        <v>45945</v>
      </c>
      <c r="C295" t="b">
        <f t="shared" si="8"/>
        <v>1</v>
      </c>
    </row>
    <row r="296" spans="1:3" x14ac:dyDescent="0.35">
      <c r="A296" s="1" t="s">
        <v>89</v>
      </c>
      <c r="B296" s="1">
        <f t="shared" si="9"/>
        <v>45945</v>
      </c>
      <c r="C296" t="b">
        <f t="shared" ref="C296:C359" si="10">ISNUMBER(B296)</f>
        <v>1</v>
      </c>
    </row>
    <row r="297" spans="1:3" x14ac:dyDescent="0.35">
      <c r="A297" s="1" t="s">
        <v>103</v>
      </c>
      <c r="B297" s="1">
        <f t="shared" si="9"/>
        <v>45946</v>
      </c>
      <c r="C297" t="b">
        <f t="shared" si="10"/>
        <v>1</v>
      </c>
    </row>
    <row r="298" spans="1:3" x14ac:dyDescent="0.35">
      <c r="A298" s="1" t="s">
        <v>103</v>
      </c>
      <c r="B298" s="1">
        <f t="shared" si="9"/>
        <v>45946</v>
      </c>
      <c r="C298" t="b">
        <f t="shared" si="10"/>
        <v>1</v>
      </c>
    </row>
    <row r="299" spans="1:3" x14ac:dyDescent="0.35">
      <c r="A299" s="1" t="s">
        <v>103</v>
      </c>
      <c r="B299" s="1">
        <f t="shared" si="9"/>
        <v>45946</v>
      </c>
      <c r="C299" t="b">
        <f t="shared" si="10"/>
        <v>1</v>
      </c>
    </row>
    <row r="300" spans="1:3" x14ac:dyDescent="0.35">
      <c r="A300" s="1" t="s">
        <v>103</v>
      </c>
      <c r="B300" s="1">
        <f t="shared" si="9"/>
        <v>45946</v>
      </c>
      <c r="C300" t="b">
        <f t="shared" si="10"/>
        <v>1</v>
      </c>
    </row>
    <row r="301" spans="1:3" x14ac:dyDescent="0.35">
      <c r="A301" s="1" t="s">
        <v>103</v>
      </c>
      <c r="B301" s="1">
        <f t="shared" si="9"/>
        <v>45946</v>
      </c>
      <c r="C301" t="b">
        <f t="shared" si="10"/>
        <v>1</v>
      </c>
    </row>
    <row r="302" spans="1:3" x14ac:dyDescent="0.35">
      <c r="A302" s="1" t="s">
        <v>96</v>
      </c>
      <c r="B302" s="1">
        <f t="shared" si="9"/>
        <v>45944</v>
      </c>
      <c r="C302" t="b">
        <f t="shared" si="10"/>
        <v>1</v>
      </c>
    </row>
    <row r="303" spans="1:3" x14ac:dyDescent="0.35">
      <c r="A303" s="1" t="s">
        <v>56</v>
      </c>
      <c r="B303" s="1">
        <f t="shared" si="9"/>
        <v>45791</v>
      </c>
      <c r="C303" t="b">
        <f t="shared" si="10"/>
        <v>1</v>
      </c>
    </row>
    <row r="304" spans="1:3" x14ac:dyDescent="0.35">
      <c r="A304" s="1" t="s">
        <v>56</v>
      </c>
      <c r="B304" s="1">
        <f t="shared" si="9"/>
        <v>45791</v>
      </c>
      <c r="C304" t="b">
        <f t="shared" si="10"/>
        <v>1</v>
      </c>
    </row>
    <row r="305" spans="1:3" x14ac:dyDescent="0.35">
      <c r="A305" s="1" t="s">
        <v>96</v>
      </c>
      <c r="B305" s="1">
        <f t="shared" si="9"/>
        <v>45944</v>
      </c>
      <c r="C305" t="b">
        <f t="shared" si="10"/>
        <v>1</v>
      </c>
    </row>
    <row r="306" spans="1:3" x14ac:dyDescent="0.35">
      <c r="A306" s="1" t="s">
        <v>89</v>
      </c>
      <c r="B306" s="1">
        <f t="shared" si="9"/>
        <v>45945</v>
      </c>
      <c r="C306" t="b">
        <f t="shared" si="10"/>
        <v>1</v>
      </c>
    </row>
    <row r="307" spans="1:3" x14ac:dyDescent="0.35">
      <c r="A307" s="1" t="s">
        <v>89</v>
      </c>
      <c r="B307" s="1">
        <f t="shared" si="9"/>
        <v>45945</v>
      </c>
      <c r="C307" t="b">
        <f t="shared" si="10"/>
        <v>1</v>
      </c>
    </row>
    <row r="308" spans="1:3" x14ac:dyDescent="0.35">
      <c r="A308" s="1" t="s">
        <v>89</v>
      </c>
      <c r="B308" s="1">
        <f t="shared" si="9"/>
        <v>45945</v>
      </c>
      <c r="C308" t="b">
        <f t="shared" si="10"/>
        <v>1</v>
      </c>
    </row>
    <row r="309" spans="1:3" x14ac:dyDescent="0.35">
      <c r="A309" s="1" t="s">
        <v>89</v>
      </c>
      <c r="B309" s="1">
        <f t="shared" si="9"/>
        <v>45945</v>
      </c>
      <c r="C309" t="b">
        <f t="shared" si="10"/>
        <v>1</v>
      </c>
    </row>
    <row r="310" spans="1:3" x14ac:dyDescent="0.35">
      <c r="A310" s="1" t="s">
        <v>112</v>
      </c>
      <c r="B310" s="1">
        <f t="shared" si="9"/>
        <v>45958</v>
      </c>
      <c r="C310" t="b">
        <f t="shared" si="10"/>
        <v>1</v>
      </c>
    </row>
    <row r="311" spans="1:3" x14ac:dyDescent="0.35">
      <c r="A311" s="1" t="s">
        <v>96</v>
      </c>
      <c r="B311" s="1">
        <f t="shared" si="9"/>
        <v>45944</v>
      </c>
      <c r="C311" t="b">
        <f t="shared" si="10"/>
        <v>1</v>
      </c>
    </row>
    <row r="312" spans="1:3" x14ac:dyDescent="0.35">
      <c r="A312" s="1" t="s">
        <v>96</v>
      </c>
      <c r="B312" s="1">
        <f t="shared" si="9"/>
        <v>45944</v>
      </c>
      <c r="C312" t="b">
        <f t="shared" si="10"/>
        <v>1</v>
      </c>
    </row>
    <row r="313" spans="1:3" x14ac:dyDescent="0.35">
      <c r="A313" s="1" t="s">
        <v>96</v>
      </c>
      <c r="B313" s="1">
        <f t="shared" si="9"/>
        <v>45944</v>
      </c>
      <c r="C313" t="b">
        <f t="shared" si="10"/>
        <v>1</v>
      </c>
    </row>
    <row r="314" spans="1:3" x14ac:dyDescent="0.35">
      <c r="A314" s="1" t="s">
        <v>96</v>
      </c>
      <c r="B314" s="1">
        <f t="shared" si="9"/>
        <v>45944</v>
      </c>
      <c r="C314" t="b">
        <f t="shared" si="10"/>
        <v>1</v>
      </c>
    </row>
    <row r="315" spans="1:3" x14ac:dyDescent="0.35">
      <c r="A315" s="1" t="s">
        <v>96</v>
      </c>
      <c r="B315" s="1">
        <f t="shared" si="9"/>
        <v>45944</v>
      </c>
      <c r="C315" t="b">
        <f t="shared" si="10"/>
        <v>1</v>
      </c>
    </row>
    <row r="316" spans="1:3" x14ac:dyDescent="0.35">
      <c r="A316" s="1" t="s">
        <v>96</v>
      </c>
      <c r="B316" s="1">
        <f t="shared" si="9"/>
        <v>45944</v>
      </c>
      <c r="C316" t="b">
        <f t="shared" si="10"/>
        <v>1</v>
      </c>
    </row>
    <row r="317" spans="1:3" x14ac:dyDescent="0.35">
      <c r="A317" s="1" t="s">
        <v>96</v>
      </c>
      <c r="B317" s="1">
        <f t="shared" si="9"/>
        <v>45944</v>
      </c>
      <c r="C317" t="b">
        <f t="shared" si="10"/>
        <v>1</v>
      </c>
    </row>
    <row r="318" spans="1:3" x14ac:dyDescent="0.35">
      <c r="A318" s="1" t="s">
        <v>56</v>
      </c>
      <c r="B318" s="1">
        <f t="shared" si="9"/>
        <v>45791</v>
      </c>
      <c r="C318" t="b">
        <f t="shared" si="10"/>
        <v>1</v>
      </c>
    </row>
    <row r="319" spans="1:3" x14ac:dyDescent="0.35">
      <c r="A319" s="1" t="s">
        <v>56</v>
      </c>
      <c r="B319" s="1">
        <f t="shared" si="9"/>
        <v>45791</v>
      </c>
      <c r="C319" t="b">
        <f t="shared" si="10"/>
        <v>1</v>
      </c>
    </row>
    <row r="320" spans="1:3" x14ac:dyDescent="0.35">
      <c r="A320" s="1" t="s">
        <v>120</v>
      </c>
      <c r="B320" s="1">
        <f t="shared" si="9"/>
        <v>45951</v>
      </c>
      <c r="C320" t="b">
        <f t="shared" si="10"/>
        <v>1</v>
      </c>
    </row>
    <row r="321" spans="1:3" x14ac:dyDescent="0.35">
      <c r="A321" s="1">
        <v>46361</v>
      </c>
      <c r="B321" s="1">
        <v>46361</v>
      </c>
      <c r="C321" t="b">
        <f t="shared" si="10"/>
        <v>1</v>
      </c>
    </row>
    <row r="322" spans="1:3" x14ac:dyDescent="0.35">
      <c r="A322" s="1" t="s">
        <v>56</v>
      </c>
      <c r="B322" s="1">
        <f t="shared" ref="B322:B385" si="11">DATE(IF(LEN(A322)-LEN(SUBSTITUTE(A322,"/",""))=2,IF(LEN(RIGHT(A322,2))=2,2000+RIGHT(A322,2),RIGHT(A322,4)),RIGHT(A322,4)),MID(SUBSTITUTE(A322,"-","/"),FIND("/",SUBSTITUTE(A322,"-","/"))+1,FIND("/",SUBSTITUTE(A322,"-","/"),FIND("/",SUBSTITUTE(A322,"-","/"))+1)-FIND("/",SUBSTITUTE(A322,"-","/"))-1),LEFT(SUBSTITUTE(A322,"-","/"),FIND("/",SUBSTITUTE(A322,"-","/"))-1))</f>
        <v>45791</v>
      </c>
      <c r="C322" t="b">
        <f t="shared" si="10"/>
        <v>1</v>
      </c>
    </row>
    <row r="323" spans="1:3" x14ac:dyDescent="0.35">
      <c r="A323" s="1" t="s">
        <v>56</v>
      </c>
      <c r="B323" s="1">
        <f t="shared" si="11"/>
        <v>45791</v>
      </c>
      <c r="C323" t="b">
        <f t="shared" si="10"/>
        <v>1</v>
      </c>
    </row>
    <row r="324" spans="1:3" x14ac:dyDescent="0.35">
      <c r="A324" s="1" t="s">
        <v>56</v>
      </c>
      <c r="B324" s="1">
        <f t="shared" si="11"/>
        <v>45791</v>
      </c>
      <c r="C324" t="b">
        <f t="shared" si="10"/>
        <v>1</v>
      </c>
    </row>
    <row r="325" spans="1:3" x14ac:dyDescent="0.35">
      <c r="A325" s="1" t="s">
        <v>56</v>
      </c>
      <c r="B325" s="1">
        <f t="shared" si="11"/>
        <v>45791</v>
      </c>
      <c r="C325" t="b">
        <f t="shared" si="10"/>
        <v>1</v>
      </c>
    </row>
    <row r="326" spans="1:3" x14ac:dyDescent="0.35">
      <c r="A326" s="1" t="s">
        <v>56</v>
      </c>
      <c r="B326" s="1">
        <f t="shared" si="11"/>
        <v>45791</v>
      </c>
      <c r="C326" t="b">
        <f t="shared" si="10"/>
        <v>1</v>
      </c>
    </row>
    <row r="327" spans="1:3" x14ac:dyDescent="0.35">
      <c r="A327" s="1" t="s">
        <v>15</v>
      </c>
      <c r="B327" s="1">
        <f t="shared" si="11"/>
        <v>45792</v>
      </c>
      <c r="C327" t="b">
        <f t="shared" si="10"/>
        <v>1</v>
      </c>
    </row>
    <row r="328" spans="1:3" x14ac:dyDescent="0.35">
      <c r="A328" s="1">
        <v>46361</v>
      </c>
      <c r="B328" s="1">
        <v>46361</v>
      </c>
      <c r="C328" t="b">
        <f t="shared" si="10"/>
        <v>1</v>
      </c>
    </row>
    <row r="329" spans="1:3" x14ac:dyDescent="0.35">
      <c r="A329" s="1" t="s">
        <v>56</v>
      </c>
      <c r="B329" s="1">
        <f t="shared" si="11"/>
        <v>45791</v>
      </c>
      <c r="C329" t="b">
        <f t="shared" si="10"/>
        <v>1</v>
      </c>
    </row>
    <row r="330" spans="1:3" x14ac:dyDescent="0.35">
      <c r="A330" s="1" t="s">
        <v>56</v>
      </c>
      <c r="B330" s="1">
        <f t="shared" si="11"/>
        <v>45791</v>
      </c>
      <c r="C330" t="b">
        <f t="shared" si="10"/>
        <v>1</v>
      </c>
    </row>
    <row r="331" spans="1:3" x14ac:dyDescent="0.35">
      <c r="A331" s="1" t="s">
        <v>56</v>
      </c>
      <c r="B331" s="1">
        <f t="shared" si="11"/>
        <v>45791</v>
      </c>
      <c r="C331" t="b">
        <f t="shared" si="10"/>
        <v>1</v>
      </c>
    </row>
    <row r="332" spans="1:3" x14ac:dyDescent="0.35">
      <c r="A332" s="1" t="s">
        <v>56</v>
      </c>
      <c r="B332" s="1">
        <f t="shared" si="11"/>
        <v>45791</v>
      </c>
      <c r="C332" t="b">
        <f t="shared" si="10"/>
        <v>1</v>
      </c>
    </row>
    <row r="333" spans="1:3" x14ac:dyDescent="0.35">
      <c r="A333" s="1" t="s">
        <v>56</v>
      </c>
      <c r="B333" s="1">
        <f t="shared" si="11"/>
        <v>45791</v>
      </c>
      <c r="C333" t="b">
        <f t="shared" si="10"/>
        <v>1</v>
      </c>
    </row>
    <row r="334" spans="1:3" x14ac:dyDescent="0.35">
      <c r="A334" s="1" t="s">
        <v>15</v>
      </c>
      <c r="B334" s="1">
        <f t="shared" si="11"/>
        <v>45792</v>
      </c>
      <c r="C334" t="b">
        <f t="shared" si="10"/>
        <v>1</v>
      </c>
    </row>
    <row r="335" spans="1:3" x14ac:dyDescent="0.35">
      <c r="A335" s="1" t="s">
        <v>96</v>
      </c>
      <c r="B335" s="1">
        <f t="shared" si="11"/>
        <v>45944</v>
      </c>
      <c r="C335" t="b">
        <f t="shared" si="10"/>
        <v>1</v>
      </c>
    </row>
    <row r="336" spans="1:3" x14ac:dyDescent="0.35">
      <c r="A336" s="1" t="s">
        <v>103</v>
      </c>
      <c r="B336" s="1">
        <f t="shared" si="11"/>
        <v>45946</v>
      </c>
      <c r="C336" t="b">
        <f t="shared" si="10"/>
        <v>1</v>
      </c>
    </row>
    <row r="337" spans="1:3" x14ac:dyDescent="0.35">
      <c r="A337" s="1" t="s">
        <v>89</v>
      </c>
      <c r="B337" s="1">
        <f t="shared" si="11"/>
        <v>45945</v>
      </c>
      <c r="C337" t="b">
        <f t="shared" si="10"/>
        <v>1</v>
      </c>
    </row>
    <row r="338" spans="1:3" x14ac:dyDescent="0.35">
      <c r="A338" s="1" t="s">
        <v>103</v>
      </c>
      <c r="B338" s="1">
        <f t="shared" si="11"/>
        <v>45946</v>
      </c>
      <c r="C338" t="b">
        <f t="shared" si="10"/>
        <v>1</v>
      </c>
    </row>
    <row r="339" spans="1:3" x14ac:dyDescent="0.35">
      <c r="A339" s="1" t="s">
        <v>96</v>
      </c>
      <c r="B339" s="1">
        <f t="shared" si="11"/>
        <v>45944</v>
      </c>
      <c r="C339" t="b">
        <f t="shared" si="10"/>
        <v>1</v>
      </c>
    </row>
    <row r="340" spans="1:3" x14ac:dyDescent="0.35">
      <c r="A340" s="1" t="s">
        <v>89</v>
      </c>
      <c r="B340" s="1">
        <f t="shared" si="11"/>
        <v>45945</v>
      </c>
      <c r="C340" t="b">
        <f t="shared" si="10"/>
        <v>1</v>
      </c>
    </row>
    <row r="341" spans="1:3" x14ac:dyDescent="0.35">
      <c r="A341" s="1" t="s">
        <v>89</v>
      </c>
      <c r="B341" s="1">
        <f t="shared" si="11"/>
        <v>45945</v>
      </c>
      <c r="C341" t="b">
        <f t="shared" si="10"/>
        <v>1</v>
      </c>
    </row>
    <row r="342" spans="1:3" x14ac:dyDescent="0.35">
      <c r="A342" s="1" t="s">
        <v>96</v>
      </c>
      <c r="B342" s="1">
        <f t="shared" si="11"/>
        <v>45944</v>
      </c>
      <c r="C342" t="b">
        <f t="shared" si="10"/>
        <v>1</v>
      </c>
    </row>
    <row r="343" spans="1:3" x14ac:dyDescent="0.35">
      <c r="A343" s="1" t="s">
        <v>96</v>
      </c>
      <c r="B343" s="1">
        <f t="shared" si="11"/>
        <v>45944</v>
      </c>
      <c r="C343" t="b">
        <f t="shared" si="10"/>
        <v>1</v>
      </c>
    </row>
    <row r="344" spans="1:3" x14ac:dyDescent="0.35">
      <c r="A344" s="1" t="s">
        <v>96</v>
      </c>
      <c r="B344" s="1">
        <f t="shared" si="11"/>
        <v>45944</v>
      </c>
      <c r="C344" t="b">
        <f t="shared" si="10"/>
        <v>1</v>
      </c>
    </row>
    <row r="345" spans="1:3" x14ac:dyDescent="0.35">
      <c r="A345" s="1" t="s">
        <v>96</v>
      </c>
      <c r="B345" s="1">
        <f t="shared" si="11"/>
        <v>45944</v>
      </c>
      <c r="C345" t="b">
        <f t="shared" si="10"/>
        <v>1</v>
      </c>
    </row>
    <row r="346" spans="1:3" x14ac:dyDescent="0.35">
      <c r="A346" s="1" t="s">
        <v>96</v>
      </c>
      <c r="B346" s="1">
        <f t="shared" si="11"/>
        <v>45944</v>
      </c>
      <c r="C346" t="b">
        <f t="shared" si="10"/>
        <v>1</v>
      </c>
    </row>
    <row r="347" spans="1:3" x14ac:dyDescent="0.35">
      <c r="A347" s="1" t="s">
        <v>96</v>
      </c>
      <c r="B347" s="1">
        <f t="shared" si="11"/>
        <v>45944</v>
      </c>
      <c r="C347" t="b">
        <f t="shared" si="10"/>
        <v>1</v>
      </c>
    </row>
    <row r="348" spans="1:3" x14ac:dyDescent="0.35">
      <c r="A348" s="1" t="s">
        <v>96</v>
      </c>
      <c r="B348" s="1">
        <f t="shared" si="11"/>
        <v>45944</v>
      </c>
      <c r="C348" t="b">
        <f t="shared" si="10"/>
        <v>1</v>
      </c>
    </row>
    <row r="349" spans="1:3" x14ac:dyDescent="0.35">
      <c r="A349" s="1" t="s">
        <v>96</v>
      </c>
      <c r="B349" s="1">
        <f t="shared" si="11"/>
        <v>45944</v>
      </c>
      <c r="C349" t="b">
        <f t="shared" si="10"/>
        <v>1</v>
      </c>
    </row>
    <row r="350" spans="1:3" x14ac:dyDescent="0.35">
      <c r="A350" s="1" t="s">
        <v>96</v>
      </c>
      <c r="B350" s="1">
        <f t="shared" si="11"/>
        <v>45944</v>
      </c>
      <c r="C350" t="b">
        <f t="shared" si="10"/>
        <v>1</v>
      </c>
    </row>
    <row r="351" spans="1:3" x14ac:dyDescent="0.35">
      <c r="A351" s="1" t="s">
        <v>96</v>
      </c>
      <c r="B351" s="1">
        <f t="shared" si="11"/>
        <v>45944</v>
      </c>
      <c r="C351" t="b">
        <f t="shared" si="10"/>
        <v>1</v>
      </c>
    </row>
    <row r="352" spans="1:3" x14ac:dyDescent="0.35">
      <c r="A352" s="1" t="s">
        <v>96</v>
      </c>
      <c r="B352" s="1">
        <f t="shared" si="11"/>
        <v>45944</v>
      </c>
      <c r="C352" t="b">
        <f t="shared" si="10"/>
        <v>1</v>
      </c>
    </row>
    <row r="353" spans="1:3" x14ac:dyDescent="0.35">
      <c r="A353" s="1" t="s">
        <v>96</v>
      </c>
      <c r="B353" s="1">
        <f t="shared" si="11"/>
        <v>45944</v>
      </c>
      <c r="C353" t="b">
        <f t="shared" si="10"/>
        <v>1</v>
      </c>
    </row>
    <row r="354" spans="1:3" x14ac:dyDescent="0.35">
      <c r="A354" s="1" t="s">
        <v>96</v>
      </c>
      <c r="B354" s="1">
        <f t="shared" si="11"/>
        <v>45944</v>
      </c>
      <c r="C354" t="b">
        <f t="shared" si="10"/>
        <v>1</v>
      </c>
    </row>
    <row r="355" spans="1:3" x14ac:dyDescent="0.35">
      <c r="A355" s="1" t="s">
        <v>96</v>
      </c>
      <c r="B355" s="1">
        <f t="shared" si="11"/>
        <v>45944</v>
      </c>
      <c r="C355" t="b">
        <f t="shared" si="10"/>
        <v>1</v>
      </c>
    </row>
    <row r="356" spans="1:3" x14ac:dyDescent="0.35">
      <c r="A356" s="1" t="s">
        <v>96</v>
      </c>
      <c r="B356" s="1">
        <f t="shared" si="11"/>
        <v>45944</v>
      </c>
      <c r="C356" t="b">
        <f t="shared" si="10"/>
        <v>1</v>
      </c>
    </row>
    <row r="357" spans="1:3" x14ac:dyDescent="0.35">
      <c r="A357" s="1" t="s">
        <v>96</v>
      </c>
      <c r="B357" s="1">
        <f t="shared" si="11"/>
        <v>45944</v>
      </c>
      <c r="C357" t="b">
        <f t="shared" si="10"/>
        <v>1</v>
      </c>
    </row>
    <row r="358" spans="1:3" x14ac:dyDescent="0.35">
      <c r="A358" s="1" t="s">
        <v>96</v>
      </c>
      <c r="B358" s="1">
        <f t="shared" si="11"/>
        <v>45944</v>
      </c>
      <c r="C358" t="b">
        <f t="shared" si="10"/>
        <v>1</v>
      </c>
    </row>
    <row r="359" spans="1:3" x14ac:dyDescent="0.35">
      <c r="A359" s="1" t="s">
        <v>96</v>
      </c>
      <c r="B359" s="1">
        <f t="shared" si="11"/>
        <v>45944</v>
      </c>
      <c r="C359" t="b">
        <f t="shared" si="10"/>
        <v>1</v>
      </c>
    </row>
    <row r="360" spans="1:3" x14ac:dyDescent="0.35">
      <c r="A360" s="1" t="s">
        <v>96</v>
      </c>
      <c r="B360" s="1">
        <f t="shared" si="11"/>
        <v>45944</v>
      </c>
      <c r="C360" t="b">
        <f t="shared" ref="C360:C423" si="12">ISNUMBER(B360)</f>
        <v>1</v>
      </c>
    </row>
    <row r="361" spans="1:3" x14ac:dyDescent="0.35">
      <c r="A361" s="1" t="s">
        <v>96</v>
      </c>
      <c r="B361" s="1">
        <f t="shared" si="11"/>
        <v>45944</v>
      </c>
      <c r="C361" t="b">
        <f t="shared" si="12"/>
        <v>1</v>
      </c>
    </row>
    <row r="362" spans="1:3" x14ac:dyDescent="0.35">
      <c r="A362" s="1" t="s">
        <v>96</v>
      </c>
      <c r="B362" s="1">
        <f t="shared" si="11"/>
        <v>45944</v>
      </c>
      <c r="C362" t="b">
        <f t="shared" si="12"/>
        <v>1</v>
      </c>
    </row>
    <row r="363" spans="1:3" x14ac:dyDescent="0.35">
      <c r="A363" s="1" t="s">
        <v>96</v>
      </c>
      <c r="B363" s="1">
        <f t="shared" si="11"/>
        <v>45944</v>
      </c>
      <c r="C363" t="b">
        <f t="shared" si="12"/>
        <v>1</v>
      </c>
    </row>
    <row r="364" spans="1:3" x14ac:dyDescent="0.35">
      <c r="A364" s="1" t="s">
        <v>96</v>
      </c>
      <c r="B364" s="1">
        <f t="shared" si="11"/>
        <v>45944</v>
      </c>
      <c r="C364" t="b">
        <f t="shared" si="12"/>
        <v>1</v>
      </c>
    </row>
    <row r="365" spans="1:3" x14ac:dyDescent="0.35">
      <c r="A365" s="1" t="s">
        <v>96</v>
      </c>
      <c r="B365" s="1">
        <f t="shared" si="11"/>
        <v>45944</v>
      </c>
      <c r="C365" t="b">
        <f t="shared" si="12"/>
        <v>1</v>
      </c>
    </row>
    <row r="366" spans="1:3" x14ac:dyDescent="0.35">
      <c r="A366" s="1" t="s">
        <v>96</v>
      </c>
      <c r="B366" s="1">
        <f t="shared" si="11"/>
        <v>45944</v>
      </c>
      <c r="C366" t="b">
        <f t="shared" si="12"/>
        <v>1</v>
      </c>
    </row>
    <row r="367" spans="1:3" x14ac:dyDescent="0.35">
      <c r="A367" s="1" t="s">
        <v>96</v>
      </c>
      <c r="B367" s="1">
        <f t="shared" si="11"/>
        <v>45944</v>
      </c>
      <c r="C367" t="b">
        <f t="shared" si="12"/>
        <v>1</v>
      </c>
    </row>
    <row r="368" spans="1:3" x14ac:dyDescent="0.35">
      <c r="A368" s="1" t="s">
        <v>96</v>
      </c>
      <c r="B368" s="1">
        <f t="shared" si="11"/>
        <v>45944</v>
      </c>
      <c r="C368" t="b">
        <f t="shared" si="12"/>
        <v>1</v>
      </c>
    </row>
    <row r="369" spans="1:3" x14ac:dyDescent="0.35">
      <c r="A369" s="1" t="s">
        <v>96</v>
      </c>
      <c r="B369" s="1">
        <f t="shared" si="11"/>
        <v>45944</v>
      </c>
      <c r="C369" t="b">
        <f t="shared" si="12"/>
        <v>1</v>
      </c>
    </row>
    <row r="370" spans="1:3" x14ac:dyDescent="0.35">
      <c r="A370" s="1" t="s">
        <v>96</v>
      </c>
      <c r="B370" s="1">
        <f t="shared" si="11"/>
        <v>45944</v>
      </c>
      <c r="C370" t="b">
        <f t="shared" si="12"/>
        <v>1</v>
      </c>
    </row>
    <row r="371" spans="1:3" x14ac:dyDescent="0.35">
      <c r="A371" s="1" t="s">
        <v>96</v>
      </c>
      <c r="B371" s="1">
        <f t="shared" si="11"/>
        <v>45944</v>
      </c>
      <c r="C371" t="b">
        <f t="shared" si="12"/>
        <v>1</v>
      </c>
    </row>
    <row r="372" spans="1:3" x14ac:dyDescent="0.35">
      <c r="A372" s="1" t="s">
        <v>96</v>
      </c>
      <c r="B372" s="1">
        <f t="shared" si="11"/>
        <v>45944</v>
      </c>
      <c r="C372" t="b">
        <f t="shared" si="12"/>
        <v>1</v>
      </c>
    </row>
    <row r="373" spans="1:3" x14ac:dyDescent="0.35">
      <c r="A373" s="1" t="s">
        <v>112</v>
      </c>
      <c r="B373" s="1">
        <f t="shared" si="11"/>
        <v>45958</v>
      </c>
      <c r="C373" t="b">
        <f t="shared" si="12"/>
        <v>1</v>
      </c>
    </row>
    <row r="374" spans="1:3" x14ac:dyDescent="0.35">
      <c r="A374" s="1" t="s">
        <v>112</v>
      </c>
      <c r="B374" s="1">
        <f t="shared" si="11"/>
        <v>45958</v>
      </c>
      <c r="C374" t="b">
        <f t="shared" si="12"/>
        <v>1</v>
      </c>
    </row>
    <row r="375" spans="1:3" x14ac:dyDescent="0.35">
      <c r="A375" s="1" t="s">
        <v>112</v>
      </c>
      <c r="B375" s="1">
        <f t="shared" si="11"/>
        <v>45958</v>
      </c>
      <c r="C375" t="b">
        <f t="shared" si="12"/>
        <v>1</v>
      </c>
    </row>
    <row r="376" spans="1:3" x14ac:dyDescent="0.35">
      <c r="A376" s="1" t="s">
        <v>112</v>
      </c>
      <c r="B376" s="1">
        <f t="shared" si="11"/>
        <v>45958</v>
      </c>
      <c r="C376" t="b">
        <f t="shared" si="12"/>
        <v>1</v>
      </c>
    </row>
    <row r="377" spans="1:3" x14ac:dyDescent="0.35">
      <c r="A377" s="1" t="s">
        <v>112</v>
      </c>
      <c r="B377" s="1">
        <f t="shared" si="11"/>
        <v>45958</v>
      </c>
      <c r="C377" t="b">
        <f t="shared" si="12"/>
        <v>1</v>
      </c>
    </row>
    <row r="378" spans="1:3" x14ac:dyDescent="0.35">
      <c r="A378" s="1" t="s">
        <v>112</v>
      </c>
      <c r="B378" s="1">
        <f t="shared" si="11"/>
        <v>45958</v>
      </c>
      <c r="C378" t="b">
        <f t="shared" si="12"/>
        <v>1</v>
      </c>
    </row>
    <row r="379" spans="1:3" x14ac:dyDescent="0.35">
      <c r="A379" s="1" t="s">
        <v>52</v>
      </c>
      <c r="B379" s="1">
        <f t="shared" si="11"/>
        <v>45791</v>
      </c>
      <c r="C379" t="b">
        <f t="shared" si="12"/>
        <v>1</v>
      </c>
    </row>
    <row r="380" spans="1:3" x14ac:dyDescent="0.35">
      <c r="A380" s="1" t="s">
        <v>56</v>
      </c>
      <c r="B380" s="1">
        <f t="shared" si="11"/>
        <v>45791</v>
      </c>
      <c r="C380" t="b">
        <f t="shared" si="12"/>
        <v>1</v>
      </c>
    </row>
    <row r="381" spans="1:3" x14ac:dyDescent="0.35">
      <c r="A381" s="1">
        <v>45996</v>
      </c>
      <c r="B381" s="1">
        <v>45996</v>
      </c>
      <c r="C381" t="b">
        <f t="shared" si="12"/>
        <v>1</v>
      </c>
    </row>
    <row r="382" spans="1:3" x14ac:dyDescent="0.35">
      <c r="A382" s="1" t="s">
        <v>56</v>
      </c>
      <c r="B382" s="1">
        <f t="shared" si="11"/>
        <v>45791</v>
      </c>
      <c r="C382" t="b">
        <f t="shared" si="12"/>
        <v>1</v>
      </c>
    </row>
    <row r="383" spans="1:3" x14ac:dyDescent="0.35">
      <c r="A383" s="1" t="s">
        <v>56</v>
      </c>
      <c r="B383" s="1">
        <f t="shared" si="11"/>
        <v>45791</v>
      </c>
      <c r="C383" t="b">
        <f t="shared" si="12"/>
        <v>1</v>
      </c>
    </row>
    <row r="384" spans="1:3" x14ac:dyDescent="0.35">
      <c r="A384" s="1" t="s">
        <v>56</v>
      </c>
      <c r="B384" s="1">
        <f t="shared" si="11"/>
        <v>45791</v>
      </c>
      <c r="C384" t="b">
        <f t="shared" si="12"/>
        <v>1</v>
      </c>
    </row>
    <row r="385" spans="1:3" x14ac:dyDescent="0.35">
      <c r="A385" s="1" t="s">
        <v>52</v>
      </c>
      <c r="B385" s="1">
        <f t="shared" si="11"/>
        <v>45791</v>
      </c>
      <c r="C385" t="b">
        <f t="shared" si="12"/>
        <v>1</v>
      </c>
    </row>
    <row r="386" spans="1:3" x14ac:dyDescent="0.35">
      <c r="A386" s="1" t="s">
        <v>56</v>
      </c>
      <c r="B386" s="1">
        <f t="shared" ref="B386:B449" si="13">DATE(IF(LEN(A386)-LEN(SUBSTITUTE(A386,"/",""))=2,IF(LEN(RIGHT(A386,2))=2,2000+RIGHT(A386,2),RIGHT(A386,4)),RIGHT(A386,4)),MID(SUBSTITUTE(A386,"-","/"),FIND("/",SUBSTITUTE(A386,"-","/"))+1,FIND("/",SUBSTITUTE(A386,"-","/"),FIND("/",SUBSTITUTE(A386,"-","/"))+1)-FIND("/",SUBSTITUTE(A386,"-","/"))-1),LEFT(SUBSTITUTE(A386,"-","/"),FIND("/",SUBSTITUTE(A386,"-","/"))-1))</f>
        <v>45791</v>
      </c>
      <c r="C386" t="b">
        <f t="shared" si="12"/>
        <v>1</v>
      </c>
    </row>
    <row r="387" spans="1:3" x14ac:dyDescent="0.35">
      <c r="A387" s="1">
        <v>45996</v>
      </c>
      <c r="B387" s="1">
        <v>45996</v>
      </c>
      <c r="C387" t="b">
        <f t="shared" si="12"/>
        <v>1</v>
      </c>
    </row>
    <row r="388" spans="1:3" x14ac:dyDescent="0.35">
      <c r="A388" s="1" t="s">
        <v>56</v>
      </c>
      <c r="B388" s="1">
        <f t="shared" si="13"/>
        <v>45791</v>
      </c>
      <c r="C388" t="b">
        <f t="shared" si="12"/>
        <v>1</v>
      </c>
    </row>
    <row r="389" spans="1:3" x14ac:dyDescent="0.35">
      <c r="A389" s="1" t="s">
        <v>56</v>
      </c>
      <c r="B389" s="1">
        <f t="shared" si="13"/>
        <v>45791</v>
      </c>
      <c r="C389" t="b">
        <f t="shared" si="12"/>
        <v>1</v>
      </c>
    </row>
    <row r="390" spans="1:3" x14ac:dyDescent="0.35">
      <c r="A390" s="1" t="s">
        <v>56</v>
      </c>
      <c r="B390" s="1">
        <f t="shared" si="13"/>
        <v>45791</v>
      </c>
      <c r="C390" t="b">
        <f t="shared" si="12"/>
        <v>1</v>
      </c>
    </row>
    <row r="391" spans="1:3" x14ac:dyDescent="0.35">
      <c r="A391" s="1" t="s">
        <v>96</v>
      </c>
      <c r="B391" s="1">
        <f t="shared" si="13"/>
        <v>45944</v>
      </c>
      <c r="C391" t="b">
        <f t="shared" si="12"/>
        <v>1</v>
      </c>
    </row>
    <row r="392" spans="1:3" x14ac:dyDescent="0.35">
      <c r="A392" s="1" t="s">
        <v>96</v>
      </c>
      <c r="B392" s="1">
        <f t="shared" si="13"/>
        <v>45944</v>
      </c>
      <c r="C392" t="b">
        <f t="shared" si="12"/>
        <v>1</v>
      </c>
    </row>
    <row r="393" spans="1:3" x14ac:dyDescent="0.35">
      <c r="A393" s="1" t="s">
        <v>96</v>
      </c>
      <c r="B393" s="1">
        <f t="shared" si="13"/>
        <v>45944</v>
      </c>
      <c r="C393" t="b">
        <f t="shared" si="12"/>
        <v>1</v>
      </c>
    </row>
    <row r="394" spans="1:3" x14ac:dyDescent="0.35">
      <c r="A394" s="1" t="s">
        <v>89</v>
      </c>
      <c r="B394" s="1">
        <f t="shared" si="13"/>
        <v>45945</v>
      </c>
      <c r="C394" t="b">
        <f t="shared" si="12"/>
        <v>1</v>
      </c>
    </row>
    <row r="395" spans="1:3" x14ac:dyDescent="0.35">
      <c r="A395" s="1" t="s">
        <v>52</v>
      </c>
      <c r="B395" s="1">
        <f t="shared" si="13"/>
        <v>45791</v>
      </c>
      <c r="C395" t="b">
        <f t="shared" si="12"/>
        <v>1</v>
      </c>
    </row>
    <row r="396" spans="1:3" x14ac:dyDescent="0.35">
      <c r="A396" s="1" t="s">
        <v>52</v>
      </c>
      <c r="B396" s="1">
        <f t="shared" si="13"/>
        <v>45791</v>
      </c>
      <c r="C396" t="b">
        <f t="shared" si="12"/>
        <v>1</v>
      </c>
    </row>
    <row r="397" spans="1:3" x14ac:dyDescent="0.35">
      <c r="A397" s="1" t="s">
        <v>52</v>
      </c>
      <c r="B397" s="1">
        <f t="shared" si="13"/>
        <v>45791</v>
      </c>
      <c r="C397" t="b">
        <f t="shared" si="12"/>
        <v>1</v>
      </c>
    </row>
    <row r="398" spans="1:3" x14ac:dyDescent="0.35">
      <c r="A398" s="1" t="s">
        <v>56</v>
      </c>
      <c r="B398" s="1">
        <f t="shared" si="13"/>
        <v>45791</v>
      </c>
      <c r="C398" t="b">
        <f t="shared" si="12"/>
        <v>1</v>
      </c>
    </row>
    <row r="399" spans="1:3" x14ac:dyDescent="0.35">
      <c r="A399" s="1" t="s">
        <v>56</v>
      </c>
      <c r="B399" s="1">
        <f t="shared" si="13"/>
        <v>45791</v>
      </c>
      <c r="C399" t="b">
        <f t="shared" si="12"/>
        <v>1</v>
      </c>
    </row>
    <row r="400" spans="1:3" x14ac:dyDescent="0.35">
      <c r="A400" s="1" t="s">
        <v>56</v>
      </c>
      <c r="B400" s="1">
        <f t="shared" si="13"/>
        <v>45791</v>
      </c>
      <c r="C400" t="b">
        <f t="shared" si="12"/>
        <v>1</v>
      </c>
    </row>
    <row r="401" spans="1:3" x14ac:dyDescent="0.35">
      <c r="A401" s="1" t="s">
        <v>56</v>
      </c>
      <c r="B401" s="1">
        <f t="shared" si="13"/>
        <v>45791</v>
      </c>
      <c r="C401" t="b">
        <f t="shared" si="12"/>
        <v>1</v>
      </c>
    </row>
    <row r="402" spans="1:3" x14ac:dyDescent="0.35">
      <c r="A402" s="1" t="s">
        <v>56</v>
      </c>
      <c r="B402" s="1">
        <f t="shared" si="13"/>
        <v>45791</v>
      </c>
      <c r="C402" t="b">
        <f t="shared" si="12"/>
        <v>1</v>
      </c>
    </row>
    <row r="403" spans="1:3" x14ac:dyDescent="0.35">
      <c r="A403" s="1" t="s">
        <v>56</v>
      </c>
      <c r="B403" s="1">
        <f t="shared" si="13"/>
        <v>45791</v>
      </c>
      <c r="C403" t="b">
        <f t="shared" si="12"/>
        <v>1</v>
      </c>
    </row>
    <row r="404" spans="1:3" x14ac:dyDescent="0.35">
      <c r="A404" s="1" t="s">
        <v>56</v>
      </c>
      <c r="B404" s="1">
        <f t="shared" si="13"/>
        <v>45791</v>
      </c>
      <c r="C404" t="b">
        <f t="shared" si="12"/>
        <v>1</v>
      </c>
    </row>
    <row r="405" spans="1:3" x14ac:dyDescent="0.35">
      <c r="A405" s="1" t="s">
        <v>56</v>
      </c>
      <c r="B405" s="1">
        <f t="shared" si="13"/>
        <v>45791</v>
      </c>
      <c r="C405" t="b">
        <f t="shared" si="12"/>
        <v>1</v>
      </c>
    </row>
    <row r="406" spans="1:3" x14ac:dyDescent="0.35">
      <c r="A406" s="1" t="s">
        <v>56</v>
      </c>
      <c r="B406" s="1">
        <f t="shared" si="13"/>
        <v>45791</v>
      </c>
      <c r="C406" t="b">
        <f t="shared" si="12"/>
        <v>1</v>
      </c>
    </row>
    <row r="407" spans="1:3" x14ac:dyDescent="0.35">
      <c r="A407" s="1" t="s">
        <v>56</v>
      </c>
      <c r="B407" s="1">
        <f t="shared" si="13"/>
        <v>45791</v>
      </c>
      <c r="C407" t="b">
        <f t="shared" si="12"/>
        <v>1</v>
      </c>
    </row>
    <row r="408" spans="1:3" x14ac:dyDescent="0.35">
      <c r="A408" s="1" t="s">
        <v>56</v>
      </c>
      <c r="B408" s="1">
        <f t="shared" si="13"/>
        <v>45791</v>
      </c>
      <c r="C408" t="b">
        <f t="shared" si="12"/>
        <v>1</v>
      </c>
    </row>
    <row r="409" spans="1:3" x14ac:dyDescent="0.35">
      <c r="A409" s="1" t="s">
        <v>15</v>
      </c>
      <c r="B409" s="1">
        <f t="shared" si="13"/>
        <v>45792</v>
      </c>
      <c r="C409" t="b">
        <f t="shared" si="12"/>
        <v>1</v>
      </c>
    </row>
    <row r="410" spans="1:3" x14ac:dyDescent="0.35">
      <c r="A410" s="1" t="s">
        <v>15</v>
      </c>
      <c r="B410" s="1">
        <f t="shared" si="13"/>
        <v>45792</v>
      </c>
      <c r="C410" t="b">
        <f t="shared" si="12"/>
        <v>1</v>
      </c>
    </row>
    <row r="411" spans="1:3" x14ac:dyDescent="0.35">
      <c r="A411" s="1" t="s">
        <v>15</v>
      </c>
      <c r="B411" s="1">
        <f t="shared" si="13"/>
        <v>45792</v>
      </c>
      <c r="C411" t="b">
        <f t="shared" si="12"/>
        <v>1</v>
      </c>
    </row>
    <row r="412" spans="1:3" x14ac:dyDescent="0.35">
      <c r="A412" s="1" t="s">
        <v>15</v>
      </c>
      <c r="B412" s="1">
        <f t="shared" si="13"/>
        <v>45792</v>
      </c>
      <c r="C412" t="b">
        <f t="shared" si="12"/>
        <v>1</v>
      </c>
    </row>
    <row r="413" spans="1:3" x14ac:dyDescent="0.35">
      <c r="A413" s="1" t="s">
        <v>15</v>
      </c>
      <c r="B413" s="1">
        <f t="shared" si="13"/>
        <v>45792</v>
      </c>
      <c r="C413" t="b">
        <f t="shared" si="12"/>
        <v>1</v>
      </c>
    </row>
    <row r="414" spans="1:3" x14ac:dyDescent="0.35">
      <c r="A414" s="1" t="s">
        <v>52</v>
      </c>
      <c r="B414" s="1">
        <f t="shared" si="13"/>
        <v>45791</v>
      </c>
      <c r="C414" t="b">
        <f t="shared" si="12"/>
        <v>1</v>
      </c>
    </row>
    <row r="415" spans="1:3" x14ac:dyDescent="0.35">
      <c r="A415" s="1" t="s">
        <v>52</v>
      </c>
      <c r="B415" s="1">
        <f t="shared" si="13"/>
        <v>45791</v>
      </c>
      <c r="C415" t="b">
        <f t="shared" si="12"/>
        <v>1</v>
      </c>
    </row>
    <row r="416" spans="1:3" x14ac:dyDescent="0.35">
      <c r="A416" s="1" t="s">
        <v>52</v>
      </c>
      <c r="B416" s="1">
        <f t="shared" si="13"/>
        <v>45791</v>
      </c>
      <c r="C416" t="b">
        <f t="shared" si="12"/>
        <v>1</v>
      </c>
    </row>
    <row r="417" spans="1:3" x14ac:dyDescent="0.35">
      <c r="A417" s="1" t="s">
        <v>56</v>
      </c>
      <c r="B417" s="1">
        <f t="shared" si="13"/>
        <v>45791</v>
      </c>
      <c r="C417" t="b">
        <f t="shared" si="12"/>
        <v>1</v>
      </c>
    </row>
    <row r="418" spans="1:3" x14ac:dyDescent="0.35">
      <c r="A418" s="1" t="s">
        <v>56</v>
      </c>
      <c r="B418" s="1">
        <f t="shared" si="13"/>
        <v>45791</v>
      </c>
      <c r="C418" t="b">
        <f t="shared" si="12"/>
        <v>1</v>
      </c>
    </row>
    <row r="419" spans="1:3" x14ac:dyDescent="0.35">
      <c r="A419" s="1" t="s">
        <v>56</v>
      </c>
      <c r="B419" s="1">
        <f t="shared" si="13"/>
        <v>45791</v>
      </c>
      <c r="C419" t="b">
        <f t="shared" si="12"/>
        <v>1</v>
      </c>
    </row>
    <row r="420" spans="1:3" x14ac:dyDescent="0.35">
      <c r="A420" s="1" t="s">
        <v>56</v>
      </c>
      <c r="B420" s="1">
        <f t="shared" si="13"/>
        <v>45791</v>
      </c>
      <c r="C420" t="b">
        <f t="shared" si="12"/>
        <v>1</v>
      </c>
    </row>
    <row r="421" spans="1:3" x14ac:dyDescent="0.35">
      <c r="A421" s="1" t="s">
        <v>56</v>
      </c>
      <c r="B421" s="1">
        <f t="shared" si="13"/>
        <v>45791</v>
      </c>
      <c r="C421" t="b">
        <f t="shared" si="12"/>
        <v>1</v>
      </c>
    </row>
    <row r="422" spans="1:3" x14ac:dyDescent="0.35">
      <c r="A422" s="1" t="s">
        <v>56</v>
      </c>
      <c r="B422" s="1">
        <f t="shared" si="13"/>
        <v>45791</v>
      </c>
      <c r="C422" t="b">
        <f t="shared" si="12"/>
        <v>1</v>
      </c>
    </row>
    <row r="423" spans="1:3" x14ac:dyDescent="0.35">
      <c r="A423" s="1" t="s">
        <v>56</v>
      </c>
      <c r="B423" s="1">
        <f t="shared" si="13"/>
        <v>45791</v>
      </c>
      <c r="C423" t="b">
        <f t="shared" si="12"/>
        <v>1</v>
      </c>
    </row>
    <row r="424" spans="1:3" x14ac:dyDescent="0.35">
      <c r="A424" s="1" t="s">
        <v>56</v>
      </c>
      <c r="B424" s="1">
        <f t="shared" si="13"/>
        <v>45791</v>
      </c>
      <c r="C424" t="b">
        <f t="shared" ref="C424:C461" si="14">ISNUMBER(B424)</f>
        <v>1</v>
      </c>
    </row>
    <row r="425" spans="1:3" x14ac:dyDescent="0.35">
      <c r="A425" s="1" t="s">
        <v>56</v>
      </c>
      <c r="B425" s="1">
        <f t="shared" si="13"/>
        <v>45791</v>
      </c>
      <c r="C425" t="b">
        <f t="shared" si="14"/>
        <v>1</v>
      </c>
    </row>
    <row r="426" spans="1:3" x14ac:dyDescent="0.35">
      <c r="A426" s="1" t="s">
        <v>56</v>
      </c>
      <c r="B426" s="1">
        <f t="shared" si="13"/>
        <v>45791</v>
      </c>
      <c r="C426" t="b">
        <f t="shared" si="14"/>
        <v>1</v>
      </c>
    </row>
    <row r="427" spans="1:3" x14ac:dyDescent="0.35">
      <c r="A427" s="1" t="s">
        <v>56</v>
      </c>
      <c r="B427" s="1">
        <f t="shared" si="13"/>
        <v>45791</v>
      </c>
      <c r="C427" t="b">
        <f t="shared" si="14"/>
        <v>1</v>
      </c>
    </row>
    <row r="428" spans="1:3" x14ac:dyDescent="0.35">
      <c r="A428" s="1" t="s">
        <v>15</v>
      </c>
      <c r="B428" s="1">
        <f t="shared" si="13"/>
        <v>45792</v>
      </c>
      <c r="C428" t="b">
        <f t="shared" si="14"/>
        <v>1</v>
      </c>
    </row>
    <row r="429" spans="1:3" x14ac:dyDescent="0.35">
      <c r="A429" s="1" t="s">
        <v>15</v>
      </c>
      <c r="B429" s="1">
        <f t="shared" si="13"/>
        <v>45792</v>
      </c>
      <c r="C429" t="b">
        <f t="shared" si="14"/>
        <v>1</v>
      </c>
    </row>
    <row r="430" spans="1:3" x14ac:dyDescent="0.35">
      <c r="A430" s="1" t="s">
        <v>15</v>
      </c>
      <c r="B430" s="1">
        <f t="shared" si="13"/>
        <v>45792</v>
      </c>
      <c r="C430" t="b">
        <f t="shared" si="14"/>
        <v>1</v>
      </c>
    </row>
    <row r="431" spans="1:3" x14ac:dyDescent="0.35">
      <c r="A431" s="1" t="s">
        <v>15</v>
      </c>
      <c r="B431" s="1">
        <f t="shared" si="13"/>
        <v>45792</v>
      </c>
      <c r="C431" t="b">
        <f t="shared" si="14"/>
        <v>1</v>
      </c>
    </row>
    <row r="432" spans="1:3" x14ac:dyDescent="0.35">
      <c r="A432" s="1" t="s">
        <v>15</v>
      </c>
      <c r="B432" s="1">
        <f t="shared" si="13"/>
        <v>45792</v>
      </c>
      <c r="C432" t="b">
        <f t="shared" si="14"/>
        <v>1</v>
      </c>
    </row>
    <row r="433" spans="1:3" x14ac:dyDescent="0.35">
      <c r="A433" s="1" t="s">
        <v>89</v>
      </c>
      <c r="B433" s="1">
        <f t="shared" si="13"/>
        <v>45945</v>
      </c>
      <c r="C433" t="b">
        <f t="shared" si="14"/>
        <v>1</v>
      </c>
    </row>
    <row r="434" spans="1:3" x14ac:dyDescent="0.35">
      <c r="A434" s="1" t="s">
        <v>89</v>
      </c>
      <c r="B434" s="1">
        <f t="shared" si="13"/>
        <v>45945</v>
      </c>
      <c r="C434" t="b">
        <f t="shared" si="14"/>
        <v>1</v>
      </c>
    </row>
    <row r="435" spans="1:3" x14ac:dyDescent="0.35">
      <c r="A435" s="1" t="s">
        <v>96</v>
      </c>
      <c r="B435" s="1">
        <f t="shared" si="13"/>
        <v>45944</v>
      </c>
      <c r="C435" t="b">
        <f t="shared" si="14"/>
        <v>1</v>
      </c>
    </row>
    <row r="436" spans="1:3" x14ac:dyDescent="0.35">
      <c r="A436" s="1" t="s">
        <v>96</v>
      </c>
      <c r="B436" s="1">
        <f t="shared" si="13"/>
        <v>45944</v>
      </c>
      <c r="C436" t="b">
        <f t="shared" si="14"/>
        <v>1</v>
      </c>
    </row>
    <row r="437" spans="1:3" x14ac:dyDescent="0.35">
      <c r="A437" s="1" t="s">
        <v>96</v>
      </c>
      <c r="B437" s="1">
        <f t="shared" si="13"/>
        <v>45944</v>
      </c>
      <c r="C437" t="b">
        <f t="shared" si="14"/>
        <v>1</v>
      </c>
    </row>
    <row r="438" spans="1:3" x14ac:dyDescent="0.35">
      <c r="A438" s="1" t="s">
        <v>96</v>
      </c>
      <c r="B438" s="1">
        <f t="shared" si="13"/>
        <v>45944</v>
      </c>
      <c r="C438" t="b">
        <f t="shared" si="14"/>
        <v>1</v>
      </c>
    </row>
    <row r="439" spans="1:3" x14ac:dyDescent="0.35">
      <c r="A439" s="1" t="s">
        <v>96</v>
      </c>
      <c r="B439" s="1">
        <f t="shared" si="13"/>
        <v>45944</v>
      </c>
      <c r="C439" t="b">
        <f t="shared" si="14"/>
        <v>1</v>
      </c>
    </row>
    <row r="440" spans="1:3" x14ac:dyDescent="0.35">
      <c r="A440" s="1" t="s">
        <v>96</v>
      </c>
      <c r="B440" s="1">
        <f t="shared" si="13"/>
        <v>45944</v>
      </c>
      <c r="C440" t="b">
        <f t="shared" si="14"/>
        <v>1</v>
      </c>
    </row>
    <row r="441" spans="1:3" x14ac:dyDescent="0.35">
      <c r="A441" s="1" t="s">
        <v>96</v>
      </c>
      <c r="B441" s="1">
        <f t="shared" si="13"/>
        <v>45944</v>
      </c>
      <c r="C441" t="b">
        <f t="shared" si="14"/>
        <v>1</v>
      </c>
    </row>
    <row r="442" spans="1:3" x14ac:dyDescent="0.35">
      <c r="A442" s="1" t="s">
        <v>96</v>
      </c>
      <c r="B442" s="1">
        <f t="shared" si="13"/>
        <v>45944</v>
      </c>
      <c r="C442" t="b">
        <f t="shared" si="14"/>
        <v>1</v>
      </c>
    </row>
    <row r="443" spans="1:3" x14ac:dyDescent="0.35">
      <c r="A443" s="1" t="s">
        <v>96</v>
      </c>
      <c r="B443" s="1">
        <f t="shared" si="13"/>
        <v>45944</v>
      </c>
      <c r="C443" t="b">
        <f t="shared" si="14"/>
        <v>1</v>
      </c>
    </row>
    <row r="444" spans="1:3" x14ac:dyDescent="0.35">
      <c r="A444" s="1" t="s">
        <v>96</v>
      </c>
      <c r="B444" s="1">
        <f t="shared" si="13"/>
        <v>45944</v>
      </c>
      <c r="C444" t="b">
        <f t="shared" si="14"/>
        <v>1</v>
      </c>
    </row>
    <row r="445" spans="1:3" x14ac:dyDescent="0.35">
      <c r="A445" s="1" t="s">
        <v>96</v>
      </c>
      <c r="B445" s="1">
        <f t="shared" si="13"/>
        <v>45944</v>
      </c>
      <c r="C445" t="b">
        <f t="shared" si="14"/>
        <v>1</v>
      </c>
    </row>
    <row r="446" spans="1:3" x14ac:dyDescent="0.35">
      <c r="A446" s="1" t="s">
        <v>96</v>
      </c>
      <c r="B446" s="1">
        <f t="shared" si="13"/>
        <v>45944</v>
      </c>
      <c r="C446" t="b">
        <f t="shared" si="14"/>
        <v>1</v>
      </c>
    </row>
    <row r="447" spans="1:3" x14ac:dyDescent="0.35">
      <c r="A447" s="1" t="s">
        <v>96</v>
      </c>
      <c r="B447" s="1">
        <f t="shared" si="13"/>
        <v>45944</v>
      </c>
      <c r="C447" t="b">
        <f t="shared" si="14"/>
        <v>1</v>
      </c>
    </row>
    <row r="448" spans="1:3" x14ac:dyDescent="0.35">
      <c r="A448" s="1" t="s">
        <v>103</v>
      </c>
      <c r="B448" s="1">
        <f t="shared" si="13"/>
        <v>45946</v>
      </c>
      <c r="C448" t="b">
        <f t="shared" si="14"/>
        <v>1</v>
      </c>
    </row>
    <row r="449" spans="1:3" x14ac:dyDescent="0.35">
      <c r="A449" s="1" t="s">
        <v>89</v>
      </c>
      <c r="B449" s="1">
        <f t="shared" si="13"/>
        <v>45945</v>
      </c>
      <c r="C449" t="b">
        <f t="shared" si="14"/>
        <v>1</v>
      </c>
    </row>
    <row r="450" spans="1:3" x14ac:dyDescent="0.35">
      <c r="A450" s="1" t="s">
        <v>89</v>
      </c>
      <c r="B450" s="1">
        <f t="shared" ref="B450:B461" si="15">DATE(IF(LEN(A450)-LEN(SUBSTITUTE(A450,"/",""))=2,IF(LEN(RIGHT(A450,2))=2,2000+RIGHT(A450,2),RIGHT(A450,4)),RIGHT(A450,4)),MID(SUBSTITUTE(A450,"-","/"),FIND("/",SUBSTITUTE(A450,"-","/"))+1,FIND("/",SUBSTITUTE(A450,"-","/"),FIND("/",SUBSTITUTE(A450,"-","/"))+1)-FIND("/",SUBSTITUTE(A450,"-","/"))-1),LEFT(SUBSTITUTE(A450,"-","/"),FIND("/",SUBSTITUTE(A450,"-","/"))-1))</f>
        <v>45945</v>
      </c>
      <c r="C450" t="b">
        <f t="shared" si="14"/>
        <v>1</v>
      </c>
    </row>
    <row r="451" spans="1:3" x14ac:dyDescent="0.35">
      <c r="A451" s="1" t="s">
        <v>89</v>
      </c>
      <c r="B451" s="1">
        <f t="shared" si="15"/>
        <v>45945</v>
      </c>
      <c r="C451" t="b">
        <f t="shared" si="14"/>
        <v>1</v>
      </c>
    </row>
    <row r="452" spans="1:3" x14ac:dyDescent="0.35">
      <c r="A452" s="1" t="s">
        <v>89</v>
      </c>
      <c r="B452" s="1">
        <f t="shared" si="15"/>
        <v>45945</v>
      </c>
      <c r="C452" t="b">
        <f t="shared" si="14"/>
        <v>1</v>
      </c>
    </row>
    <row r="453" spans="1:3" x14ac:dyDescent="0.35">
      <c r="A453" s="1" t="s">
        <v>89</v>
      </c>
      <c r="B453" s="1">
        <f t="shared" si="15"/>
        <v>45945</v>
      </c>
      <c r="C453" t="b">
        <f t="shared" si="14"/>
        <v>1</v>
      </c>
    </row>
    <row r="454" spans="1:3" x14ac:dyDescent="0.35">
      <c r="A454" s="1" t="s">
        <v>89</v>
      </c>
      <c r="B454" s="1">
        <f t="shared" si="15"/>
        <v>45945</v>
      </c>
      <c r="C454" t="b">
        <f t="shared" si="14"/>
        <v>1</v>
      </c>
    </row>
    <row r="455" spans="1:3" x14ac:dyDescent="0.35">
      <c r="A455" s="1" t="s">
        <v>112</v>
      </c>
      <c r="B455" s="1">
        <f t="shared" si="15"/>
        <v>45958</v>
      </c>
      <c r="C455" t="b">
        <f t="shared" si="14"/>
        <v>1</v>
      </c>
    </row>
    <row r="456" spans="1:3" x14ac:dyDescent="0.35">
      <c r="A456" s="1" t="s">
        <v>117</v>
      </c>
      <c r="B456" s="1">
        <f t="shared" si="15"/>
        <v>46323</v>
      </c>
      <c r="C456" t="b">
        <f t="shared" si="14"/>
        <v>1</v>
      </c>
    </row>
    <row r="457" spans="1:3" x14ac:dyDescent="0.35">
      <c r="A457" s="1" t="s">
        <v>118</v>
      </c>
      <c r="B457" s="1">
        <f t="shared" si="15"/>
        <v>46688</v>
      </c>
      <c r="C457" t="b">
        <f t="shared" si="14"/>
        <v>1</v>
      </c>
    </row>
    <row r="458" spans="1:3" x14ac:dyDescent="0.35">
      <c r="A458" s="1" t="s">
        <v>119</v>
      </c>
      <c r="B458" s="1">
        <f t="shared" si="15"/>
        <v>47054</v>
      </c>
      <c r="C458" t="b">
        <f t="shared" si="14"/>
        <v>1</v>
      </c>
    </row>
    <row r="459" spans="1:3" x14ac:dyDescent="0.35">
      <c r="A459" s="1" t="s">
        <v>120</v>
      </c>
      <c r="B459" s="1">
        <f t="shared" si="15"/>
        <v>45951</v>
      </c>
      <c r="C459" t="b">
        <f t="shared" si="14"/>
        <v>1</v>
      </c>
    </row>
    <row r="460" spans="1:3" x14ac:dyDescent="0.35">
      <c r="A460" s="1" t="s">
        <v>120</v>
      </c>
      <c r="B460" s="1">
        <f t="shared" si="15"/>
        <v>45951</v>
      </c>
      <c r="C460" t="b">
        <f t="shared" si="14"/>
        <v>1</v>
      </c>
    </row>
    <row r="461" spans="1:3" x14ac:dyDescent="0.35">
      <c r="A461" s="1" t="s">
        <v>120</v>
      </c>
      <c r="B461" s="1">
        <f t="shared" si="15"/>
        <v>45951</v>
      </c>
      <c r="C461" t="b">
        <f t="shared" si="14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813DEC4A17DB40A5843D1157D8CD4D" ma:contentTypeVersion="18" ma:contentTypeDescription="Create a new document." ma:contentTypeScope="" ma:versionID="dc6577e42519716f75255cf7493b32f7">
  <xsd:schema xmlns:xsd="http://www.w3.org/2001/XMLSchema" xmlns:xs="http://www.w3.org/2001/XMLSchema" xmlns:p="http://schemas.microsoft.com/office/2006/metadata/properties" xmlns:ns2="cb7bf1ad-b1cc-435a-9f6e-81b2f99c32a9" xmlns:ns3="7ce4cce1-0673-44d6-a8e9-024984c6c156" targetNamespace="http://schemas.microsoft.com/office/2006/metadata/properties" ma:root="true" ma:fieldsID="93d8227084f1dc13f4d26d22ce1da744" ns2:_="" ns3:_="">
    <xsd:import namespace="cb7bf1ad-b1cc-435a-9f6e-81b2f99c32a9"/>
    <xsd:import namespace="7ce4cce1-0673-44d6-a8e9-024984c6c1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bf1ad-b1cc-435a-9f6e-81b2f99c3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4cce1-0673-44d6-a8e9-024984c6c15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0d27538-787d-4953-bf6f-d9c7d0f3d9fc}" ma:internalName="TaxCatchAll" ma:showField="CatchAllData" ma:web="7ce4cce1-0673-44d6-a8e9-024984c6c1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e4cce1-0673-44d6-a8e9-024984c6c156" xsi:nil="true"/>
    <lcf76f155ced4ddcb4097134ff3c332f xmlns="cb7bf1ad-b1cc-435a-9f6e-81b2f99c32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85BFC6-745B-49B0-87B9-892A72BBB8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258F12-C15B-4654-A491-0335704C5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bf1ad-b1cc-435a-9f6e-81b2f99c32a9"/>
    <ds:schemaRef ds:uri="7ce4cce1-0673-44d6-a8e9-024984c6c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512AB9-A13E-4245-B2A0-964E627FDE40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cb7bf1ad-b1cc-435a-9f6e-81b2f99c32a9"/>
    <ds:schemaRef ds:uri="http://purl.org/dc/elements/1.1/"/>
    <ds:schemaRef ds:uri="7ce4cce1-0673-44d6-a8e9-024984c6c15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Rizzuto, Marcus (DFO/MPO)</cp:lastModifiedBy>
  <cp:revision/>
  <dcterms:created xsi:type="dcterms:W3CDTF">2015-06-05T18:17:20Z</dcterms:created>
  <dcterms:modified xsi:type="dcterms:W3CDTF">2026-03-18T13:38:50Z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2025-07-09T20:09:10Z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90fc674f-83f5-4704-b914-6ee8b3cf0b5f</vt:lpwstr>
  </property>
  <property fmtid="{D5CDD505-2E9C-101B-9397-08002B2CF9AE}" pid="8" name="MSIP_Label_4e6cdb53-fd15-486d-84de-c510e3a62203_ContentBits">
    <vt:lpwstr>1</vt:lpwstr>
  </property>
  <property fmtid="{D5CDD505-2E9C-101B-9397-08002B2CF9AE}" pid="9" name="ContentTypeId">
    <vt:lpwstr>0x01010008813DEC4A17DB40A5843D1157D8CD4D</vt:lpwstr>
  </property>
  <property fmtid="{D5CDD505-2E9C-101B-9397-08002B2CF9AE}" pid="10" name="MediaServiceImageTags">
    <vt:lpwstr/>
  </property>
</Properties>
</file>